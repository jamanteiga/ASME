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man\Downloads\"/>
    </mc:Choice>
  </mc:AlternateContent>
  <xr:revisionPtr revIDLastSave="0" documentId="13_ncr:1_{2628AC17-7F3D-4E90-8FB8-58FB7F3A5211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SA-516 Gr 70" sheetId="1" r:id="rId1"/>
    <sheet name="SA-105" sheetId="2" r:id="rId2"/>
    <sheet name="SA-106 Gr B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4" i="3" l="1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B25" i="3"/>
  <c r="B24" i="3"/>
  <c r="B26" i="3" s="1"/>
  <c r="B27" i="3" s="1"/>
  <c r="B28" i="3" s="1"/>
  <c r="B20" i="3" s="1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B25" i="2"/>
  <c r="B24" i="2"/>
  <c r="B26" i="2" s="1"/>
  <c r="B27" i="2" s="1"/>
  <c r="B28" i="2" s="1"/>
  <c r="B20" i="2" s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B25" i="1"/>
  <c r="B24" i="1"/>
  <c r="B26" i="1" s="1"/>
  <c r="B27" i="1" s="1"/>
  <c r="B28" i="1" s="1"/>
  <c r="B20" i="1" s="1"/>
  <c r="B21" i="1" l="1"/>
  <c r="B21" i="2"/>
  <c r="B21" i="3"/>
</calcChain>
</file>

<file path=xl/sharedStrings.xml><?xml version="1.0" encoding="utf-8"?>
<sst xmlns="http://schemas.openxmlformats.org/spreadsheetml/2006/main" count="105" uniqueCount="50">
  <si>
    <t>FICHA DE MATERIAL — ASME BPVC SECCIÓN II-D, TABLA 1A</t>
  </si>
  <si>
    <t>SA-516 Grado 70</t>
  </si>
  <si>
    <t>Plancha al carbono para recipientes a presión — Tabla 1A, línea 37</t>
  </si>
  <si>
    <t>IDENTIFICACIÓN DEL MATERIAL</t>
  </si>
  <si>
    <t>Especificación</t>
  </si>
  <si>
    <t>SA-516 / SA-516M Gr. 70 (Gr. 485)</t>
  </si>
  <si>
    <t>Composición / forma</t>
  </si>
  <si>
    <t>Acero al carbono · Plancha</t>
  </si>
  <si>
    <t>Número UNS</t>
  </si>
  <si>
    <t>K02700</t>
  </si>
  <si>
    <t>P-No / Grupo</t>
  </si>
  <si>
    <t>1 / 2</t>
  </si>
  <si>
    <t>Resistencia a tracción mín.</t>
  </si>
  <si>
    <t>Límite elástico mín.</t>
  </si>
  <si>
    <t>Temp. máx. aplicable (VIII-1)</t>
  </si>
  <si>
    <t>Carta de presión externa</t>
  </si>
  <si>
    <t>CS-2</t>
  </si>
  <si>
    <t>ENTRADAS (edite las celdas en amarillo)</t>
  </si>
  <si>
    <t>Presión de diseño P (MPa)</t>
  </si>
  <si>
    <t>Temperatura de diseño T (°C)</t>
  </si>
  <si>
    <t>RESULTADO</t>
  </si>
  <si>
    <t>S admisible interpolada (MPa)</t>
  </si>
  <si>
    <t>Estado</t>
  </si>
  <si>
    <t>CÁLCULO AUXILIAR (no editar)</t>
  </si>
  <si>
    <t>T mínima tabulada (°C)</t>
  </si>
  <si>
    <t>T máxima tabulada (°C)</t>
  </si>
  <si>
    <t>T aplicada al punto (°C, acotada al rango)</t>
  </si>
  <si>
    <t>Índice de interpolación</t>
  </si>
  <si>
    <t>S en el punto (MPa, acotada al rango)</t>
  </si>
  <si>
    <t>TABLA DE VALORES — Tabla 1A, línea 37 (SA-516 Gr. 70)</t>
  </si>
  <si>
    <t>T (°F)
fuente</t>
  </si>
  <si>
    <t>S (ksi)
fuente</t>
  </si>
  <si>
    <t>T (°C)
SI</t>
  </si>
  <si>
    <t>S (MPa)
SI</t>
  </si>
  <si>
    <t>Fuente: ASME BPVC Sección II, Parte D — Properties (Customary), edición 2015, Tabla 1A, línea 37 (ejemplar del usuario). Columnas T(°F)/S(ksi) son los valores publicados; T(°C)/S(MPa) se calculan por fórmula. Notas de Tabla 1A aplicables: G10, S1, T2 — verificar su alcance en el ejemplar de referencia. La interpolación entre puntos es lineal, igual que en el uso habitual de la Tabla 1A. Confirmar contra la edición y adenda vigentes antes de usar en diseño final.</t>
  </si>
  <si>
    <t>SA-105 (Normalizado)</t>
  </si>
  <si>
    <t>Forjado al carbono para bridas y accesorios — Tabla 1A, línea 23</t>
  </si>
  <si>
    <t>SA-105</t>
  </si>
  <si>
    <t>Acero al carbono · Forjado</t>
  </si>
  <si>
    <t>K03504</t>
  </si>
  <si>
    <t>T máx. con S tabulada</t>
  </si>
  <si>
    <t>TABLA DE VALORES — Tabla 1A, línea 23 (SA-105)</t>
  </si>
  <si>
    <t>Fuente: ASME BPVC Sección II, Parte D — Properties (Customary), edición 2015, Tabla 1A, línea 23 (SA-105, UNS K03504; ejemplar del usuario). El pedido habitual “SA-105N” se refiere a la condición normalizada (requisito suplementario de tenacidad); la especificación SA-105 no define grados, por lo que la Tabla 1A no tabula una S distinta para esa condición — se usa la misma línea. Esta línea no tiene S tabulada por encima de 650 °F (343 °C) en esta edición (notas G10, S1, T2); no extrapolar. Confirmar contra la edición y adenda vigentes antes de usar en diseño final.</t>
  </si>
  <si>
    <t>SA-106 Grado B</t>
  </si>
  <si>
    <t>Tubo sin costura al carbono para servicio a alta temperatura — Tabla 1A, línea 15</t>
  </si>
  <si>
    <t>Acero al carbono · Tubo s/costura</t>
  </si>
  <si>
    <t>K03006</t>
  </si>
  <si>
    <t>1 / 1</t>
  </si>
  <si>
    <t>TABLA DE VALORES — Tabla 1A, línea 15 (SA-106 Gr. B)</t>
  </si>
  <si>
    <t>Fuente: ASME BPVC Sección II, Parte D — Properties (Customary), edición 2015, Tabla 1A, línea 15 (SA-106 Gr. B, UNS K03006; ejemplar del usuario). Se omite la columna de 250 °F: esta línea no tiene valor tabulado en ese punto en esta edición (hueco real de la tabla, no un error de lectura); se interpola directamente entre 200 y 300 °F, que coinciden (15.7 ksi). Sin S tabulada por encima de 900 °F (482 °C) en esta línea, aunque el límite general de aplicabilidad de Sección VIII-1 llega a 1000 °F (538 °C) — no extrapolar más allá de 900 °F. Notas de Tabla 1A: G10, S1, T1 — verificar su alcance en el ejemplar de referencia. Confirmar contra la edición y adenda vigentes antes de usar en diseño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</si>
</sst>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&quot; MPa (70 ksi)&quot;"/>
    <numFmt numFmtId="165" formatCode="0&quot; MPa (38 ksi)&quot;"/>
    <numFmt numFmtId="166" formatCode="0&quot; °C (1000 °F)&quot;"/>
    <numFmt numFmtId="167" formatCode="0.0"/>
    <numFmt numFmtId="168" formatCode="0&quot; °C (650 °F)&quot;"/>
    <numFmt numFmtId="169" formatCode="0&quot; MPa (60 ksi)&quot;"/>
    <numFmt numFmtId="170" formatCode="0&quot; MPa (35 ksi)&quot;"/>
    <numFmt numFmtId="171" formatCode="0&quot; °C (900 °F)&quot;"/>
  </numFmts>
  <fonts count="12" x14ac:knownFonts="1">
    <font>
      <sz val="11"/>
      <color theme="1"/>
      <name val="Calibri"/>
      <family val="2"/>
      <charset val="1"/>
    </font>
    <font>
      <b/>
      <sz val="9"/>
      <color rgb="FF2A78D6"/>
      <name val="Arial"/>
      <family val="2"/>
    </font>
    <font>
      <b/>
      <sz val="16"/>
      <color rgb="FF14191D"/>
      <name val="Arial"/>
      <family val="2"/>
    </font>
    <font>
      <i/>
      <sz val="10"/>
      <color rgb="FF6B7480"/>
      <name val="Arial"/>
      <family val="2"/>
    </font>
    <font>
      <b/>
      <sz val="10"/>
      <color rgb="FFFFFFFF"/>
      <name val="Arial"/>
      <family val="2"/>
    </font>
    <font>
      <sz val="10"/>
      <color rgb="FF6B7480"/>
      <name val="Arial"/>
      <family val="2"/>
    </font>
    <font>
      <b/>
      <sz val="10"/>
      <color rgb="FF14191D"/>
      <name val="Arial"/>
      <family val="2"/>
    </font>
    <font>
      <b/>
      <sz val="10"/>
      <color rgb="FF0000FF"/>
      <name val="Arial"/>
      <family val="2"/>
    </font>
    <font>
      <b/>
      <sz val="11"/>
      <color rgb="FF2A78D6"/>
      <name val="Arial"/>
      <family val="2"/>
    </font>
    <font>
      <b/>
      <sz val="9"/>
      <color rgb="FFFFFFFF"/>
      <name val="Arial"/>
      <family val="2"/>
    </font>
    <font>
      <sz val="9"/>
      <color rgb="FF14191D"/>
      <name val="Arial"/>
      <family val="2"/>
    </font>
    <font>
      <i/>
      <sz val="8.5"/>
      <color rgb="FF6B74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191D"/>
        <bgColor rgb="FF000000"/>
      </patternFill>
    </fill>
    <fill>
      <patternFill patternType="solid">
        <fgColor rgb="FFFFF6CC"/>
        <bgColor rgb="FFFFFFFF"/>
      </patternFill>
    </fill>
    <fill>
      <patternFill patternType="solid">
        <fgColor rgb="FF6B7480"/>
        <bgColor rgb="FF878787"/>
      </patternFill>
    </fill>
  </fills>
  <borders count="2">
    <border>
      <left/>
      <right/>
      <top/>
      <bottom/>
      <diagonal/>
    </border>
    <border>
      <left style="thin">
        <color rgb="FFD8DCDA"/>
      </left>
      <right style="thin">
        <color rgb="FFD8DCDA"/>
      </right>
      <top style="thin">
        <color rgb="FFD8DCDA"/>
      </top>
      <bottom style="thin">
        <color rgb="FFD8DCD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1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2" fontId="7" fillId="3" borderId="1" xfId="0" applyNumberFormat="1" applyFont="1" applyFill="1" applyBorder="1" applyAlignment="1">
      <alignment horizontal="right"/>
    </xf>
    <xf numFmtId="167" fontId="7" fillId="3" borderId="1" xfId="0" applyNumberFormat="1" applyFont="1" applyFill="1" applyBorder="1" applyAlignment="1">
      <alignment horizontal="right"/>
    </xf>
    <xf numFmtId="167" fontId="8" fillId="0" borderId="0" xfId="0" applyNumberFormat="1" applyFont="1" applyAlignment="1">
      <alignment horizontal="right"/>
    </xf>
    <xf numFmtId="0" fontId="6" fillId="0" borderId="0" xfId="0" applyFont="1" applyAlignment="1">
      <alignment horizontal="right" wrapText="1"/>
    </xf>
    <xf numFmtId="167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6" fillId="0" borderId="0" xfId="0" applyFont="1"/>
    <xf numFmtId="0" fontId="9" fillId="4" borderId="1" xfId="0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right"/>
    </xf>
    <xf numFmtId="167" fontId="10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right"/>
    </xf>
    <xf numFmtId="168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170" fontId="6" fillId="0" borderId="0" xfId="0" applyNumberFormat="1" applyFont="1" applyAlignment="1">
      <alignment horizontal="right"/>
    </xf>
    <xf numFmtId="171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CDA"/>
      <rgbColor rgb="FF878787"/>
      <rgbColor rgb="FF9999FF"/>
      <rgbColor rgb="FF993366"/>
      <rgbColor rgb="FFFFF6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6B7480"/>
      <rgbColor rgb="FF969696"/>
      <rgbColor rgb="FF003366"/>
      <rgbColor rgb="FF339966"/>
      <rgbColor rgb="FF14191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SA-516 Grado 70 — S vs. 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Curva Tabla 1A</c:v>
          </c:tx>
          <c:spPr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'SA-516 Gr 70'!$C$32:$C$47</c:f>
              <c:numCache>
                <c:formatCode>0.0</c:formatCode>
                <c:ptCount val="16"/>
                <c:pt idx="0">
                  <c:v>37.777777777777779</c:v>
                </c:pt>
                <c:pt idx="1">
                  <c:v>65.555555555555557</c:v>
                </c:pt>
                <c:pt idx="2">
                  <c:v>93.333333333333329</c:v>
                </c:pt>
                <c:pt idx="3">
                  <c:v>121.11111111111111</c:v>
                </c:pt>
                <c:pt idx="4">
                  <c:v>148.88888888888889</c:v>
                </c:pt>
                <c:pt idx="5">
                  <c:v>204.44444444444446</c:v>
                </c:pt>
                <c:pt idx="6">
                  <c:v>260</c:v>
                </c:pt>
                <c:pt idx="7">
                  <c:v>315.55555555555554</c:v>
                </c:pt>
                <c:pt idx="8">
                  <c:v>343.33333333333331</c:v>
                </c:pt>
                <c:pt idx="9">
                  <c:v>371.11111111111109</c:v>
                </c:pt>
                <c:pt idx="10">
                  <c:v>398.88888888888891</c:v>
                </c:pt>
                <c:pt idx="11">
                  <c:v>426.66666666666669</c:v>
                </c:pt>
                <c:pt idx="12">
                  <c:v>454.44444444444446</c:v>
                </c:pt>
                <c:pt idx="13">
                  <c:v>482.22222222222223</c:v>
                </c:pt>
                <c:pt idx="14">
                  <c:v>510</c:v>
                </c:pt>
                <c:pt idx="15">
                  <c:v>537.77777777777783</c:v>
                </c:pt>
              </c:numCache>
            </c:numRef>
          </c:xVal>
          <c:yVal>
            <c:numRef>
              <c:f>'SA-516 Gr 70'!$D$32:$D$47</c:f>
              <c:numCache>
                <c:formatCode>0.0</c:formatCode>
                <c:ptCount val="16"/>
                <c:pt idx="0">
                  <c:v>123.41620399999998</c:v>
                </c:pt>
                <c:pt idx="1">
                  <c:v>123.41620399999998</c:v>
                </c:pt>
                <c:pt idx="2">
                  <c:v>123.41620399999998</c:v>
                </c:pt>
                <c:pt idx="3">
                  <c:v>123.41620399999998</c:v>
                </c:pt>
                <c:pt idx="4">
                  <c:v>123.41620399999998</c:v>
                </c:pt>
                <c:pt idx="5">
                  <c:v>123.41620399999998</c:v>
                </c:pt>
                <c:pt idx="6">
                  <c:v>123.41620399999998</c:v>
                </c:pt>
                <c:pt idx="7">
                  <c:v>123.41620399999998</c:v>
                </c:pt>
                <c:pt idx="8">
                  <c:v>123.41620399999998</c:v>
                </c:pt>
                <c:pt idx="9">
                  <c:v>116.52144399999999</c:v>
                </c:pt>
                <c:pt idx="10">
                  <c:v>95.837164000000001</c:v>
                </c:pt>
                <c:pt idx="11">
                  <c:v>78.600263999999996</c:v>
                </c:pt>
                <c:pt idx="12">
                  <c:v>59.984411999999992</c:v>
                </c:pt>
                <c:pt idx="13">
                  <c:v>40.679084000000003</c:v>
                </c:pt>
                <c:pt idx="14">
                  <c:v>27.579039999999999</c:v>
                </c:pt>
                <c:pt idx="15">
                  <c:v>17.236899999999999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69-478F-A1E9-1C79C814EFBF}"/>
            </c:ext>
          </c:extLst>
        </c:ser>
        <c:ser>
          <c:idx val="1"/>
          <c:order val="1"/>
          <c:tx>
            <c:v>Punto de diseño (P, T)</c:v>
          </c:tx>
          <c:spPr>
            <a:ln w="28440">
              <a:noFill/>
            </a:ln>
          </c:spPr>
          <c:marker>
            <c:symbol val="circle"/>
            <c:size val="10"/>
            <c:spPr>
              <a:solidFill>
                <a:srgbClr val="EB683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'SA-516 Gr 70'!$B$26</c:f>
              <c:numCache>
                <c:formatCode>0.0</c:formatCode>
                <c:ptCount val="1"/>
                <c:pt idx="0">
                  <c:v>150</c:v>
                </c:pt>
              </c:numCache>
            </c:numRef>
          </c:xVal>
          <c:yVal>
            <c:numRef>
              <c:f>'SA-516 Gr 70'!$B$28</c:f>
              <c:numCache>
                <c:formatCode>0.0</c:formatCode>
                <c:ptCount val="1"/>
                <c:pt idx="0">
                  <c:v>123.41620399999998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69-478F-A1E9-1C79C814E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24705"/>
        <c:axId val="70812403"/>
      </c:scatterChart>
      <c:valAx>
        <c:axId val="585247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Temperatura de diseño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0812403"/>
        <c:crosses val="autoZero"/>
        <c:crossBetween val="midCat"/>
      </c:valAx>
      <c:valAx>
        <c:axId val="7081240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Tensión admisible S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852470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SA-105 (Normalizado) — S vs. 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Curva Tabla 1A</c:v>
          </c:tx>
          <c:spPr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'SA-105'!$C$32:$C$40</c:f>
              <c:numCache>
                <c:formatCode>0.0</c:formatCode>
                <c:ptCount val="9"/>
                <c:pt idx="0">
                  <c:v>37.777777777777779</c:v>
                </c:pt>
                <c:pt idx="1">
                  <c:v>65.555555555555557</c:v>
                </c:pt>
                <c:pt idx="2">
                  <c:v>93.333333333333329</c:v>
                </c:pt>
                <c:pt idx="3">
                  <c:v>121.11111111111111</c:v>
                </c:pt>
                <c:pt idx="4">
                  <c:v>148.88888888888889</c:v>
                </c:pt>
                <c:pt idx="5">
                  <c:v>204.44444444444446</c:v>
                </c:pt>
                <c:pt idx="6">
                  <c:v>260</c:v>
                </c:pt>
                <c:pt idx="7">
                  <c:v>315.55555555555554</c:v>
                </c:pt>
                <c:pt idx="8">
                  <c:v>343.33333333333331</c:v>
                </c:pt>
              </c:numCache>
            </c:numRef>
          </c:xVal>
          <c:yVal>
            <c:numRef>
              <c:f>'SA-105'!$D$32:$D$40</c:f>
              <c:numCache>
                <c:formatCode>0.0</c:formatCode>
                <c:ptCount val="9"/>
                <c:pt idx="0">
                  <c:v>117.900396</c:v>
                </c:pt>
                <c:pt idx="1">
                  <c:v>117.900396</c:v>
                </c:pt>
                <c:pt idx="2">
                  <c:v>117.900396</c:v>
                </c:pt>
                <c:pt idx="3">
                  <c:v>117.900396</c:v>
                </c:pt>
                <c:pt idx="4">
                  <c:v>117.900396</c:v>
                </c:pt>
                <c:pt idx="5">
                  <c:v>117.900396</c:v>
                </c:pt>
                <c:pt idx="6">
                  <c:v>117.900396</c:v>
                </c:pt>
                <c:pt idx="7">
                  <c:v>117.900396</c:v>
                </c:pt>
                <c:pt idx="8">
                  <c:v>117.900396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C4-4038-9B05-9D82A44E706D}"/>
            </c:ext>
          </c:extLst>
        </c:ser>
        <c:ser>
          <c:idx val="1"/>
          <c:order val="1"/>
          <c:tx>
            <c:v>Punto de diseño (P, T)</c:v>
          </c:tx>
          <c:spPr>
            <a:ln w="28440">
              <a:noFill/>
            </a:ln>
          </c:spPr>
          <c:marker>
            <c:symbol val="circle"/>
            <c:size val="10"/>
            <c:spPr>
              <a:solidFill>
                <a:srgbClr val="EB683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'SA-105'!$B$26</c:f>
              <c:numCache>
                <c:formatCode>0.0</c:formatCode>
                <c:ptCount val="1"/>
                <c:pt idx="0">
                  <c:v>120</c:v>
                </c:pt>
              </c:numCache>
            </c:numRef>
          </c:xVal>
          <c:yVal>
            <c:numRef>
              <c:f>'SA-105'!$B$28</c:f>
              <c:numCache>
                <c:formatCode>0.0</c:formatCode>
                <c:ptCount val="1"/>
                <c:pt idx="0">
                  <c:v>117.900396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C4-4038-9B05-9D82A44E7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84309"/>
        <c:axId val="98341307"/>
      </c:scatterChart>
      <c:valAx>
        <c:axId val="689843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Temperatura de diseño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8341307"/>
        <c:crosses val="autoZero"/>
        <c:crossBetween val="midCat"/>
      </c:valAx>
      <c:valAx>
        <c:axId val="9834130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Tensión admisible S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898430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SA-106 Grado B — S vs. 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Curva Tabla 1A</c:v>
          </c:tx>
          <c:spPr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'SA-106 Gr B'!$C$32:$C$44</c:f>
              <c:numCache>
                <c:formatCode>0.0</c:formatCode>
                <c:ptCount val="13"/>
                <c:pt idx="0">
                  <c:v>37.777777777777779</c:v>
                </c:pt>
                <c:pt idx="1">
                  <c:v>65.555555555555557</c:v>
                </c:pt>
                <c:pt idx="2">
                  <c:v>93.333333333333329</c:v>
                </c:pt>
                <c:pt idx="3">
                  <c:v>148.88888888888889</c:v>
                </c:pt>
                <c:pt idx="4">
                  <c:v>204.44444444444446</c:v>
                </c:pt>
                <c:pt idx="5">
                  <c:v>260</c:v>
                </c:pt>
                <c:pt idx="6">
                  <c:v>315.55555555555554</c:v>
                </c:pt>
                <c:pt idx="7">
                  <c:v>343.33333333333331</c:v>
                </c:pt>
                <c:pt idx="8">
                  <c:v>371.11111111111109</c:v>
                </c:pt>
                <c:pt idx="9">
                  <c:v>398.88888888888891</c:v>
                </c:pt>
                <c:pt idx="10">
                  <c:v>426.66666666666669</c:v>
                </c:pt>
                <c:pt idx="11">
                  <c:v>454.44444444444446</c:v>
                </c:pt>
                <c:pt idx="12">
                  <c:v>482.22222222222223</c:v>
                </c:pt>
              </c:numCache>
            </c:numRef>
          </c:xVal>
          <c:yVal>
            <c:numRef>
              <c:f>'SA-106 Gr B'!$D$32:$D$44</c:f>
              <c:numCache>
                <c:formatCode>0.0</c:formatCode>
                <c:ptCount val="13"/>
                <c:pt idx="0">
                  <c:v>108.24773199999998</c:v>
                </c:pt>
                <c:pt idx="1">
                  <c:v>108.24773199999998</c:v>
                </c:pt>
                <c:pt idx="2">
                  <c:v>108.24773199999998</c:v>
                </c:pt>
                <c:pt idx="3">
                  <c:v>108.24773199999998</c:v>
                </c:pt>
                <c:pt idx="4">
                  <c:v>108.24773199999998</c:v>
                </c:pt>
                <c:pt idx="5">
                  <c:v>108.24773199999998</c:v>
                </c:pt>
                <c:pt idx="6">
                  <c:v>108.24773199999998</c:v>
                </c:pt>
                <c:pt idx="7">
                  <c:v>108.24773199999998</c:v>
                </c:pt>
                <c:pt idx="8">
                  <c:v>107.558256</c:v>
                </c:pt>
                <c:pt idx="9">
                  <c:v>89.631879999999995</c:v>
                </c:pt>
                <c:pt idx="10">
                  <c:v>74.463408000000001</c:v>
                </c:pt>
                <c:pt idx="11">
                  <c:v>59.984411999999992</c:v>
                </c:pt>
                <c:pt idx="12">
                  <c:v>40.679084000000003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03-441D-B952-74FCBFB9C899}"/>
            </c:ext>
          </c:extLst>
        </c:ser>
        <c:ser>
          <c:idx val="1"/>
          <c:order val="1"/>
          <c:tx>
            <c:v>Punto de diseño (P, T)</c:v>
          </c:tx>
          <c:spPr>
            <a:ln w="28440">
              <a:noFill/>
            </a:ln>
          </c:spPr>
          <c:marker>
            <c:symbol val="circle"/>
            <c:size val="10"/>
            <c:spPr>
              <a:solidFill>
                <a:srgbClr val="EB683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'SA-106 Gr B'!$B$26</c:f>
              <c:numCache>
                <c:formatCode>0.0</c:formatCode>
                <c:ptCount val="1"/>
                <c:pt idx="0">
                  <c:v>200</c:v>
                </c:pt>
              </c:numCache>
            </c:numRef>
          </c:xVal>
          <c:yVal>
            <c:numRef>
              <c:f>'SA-106 Gr B'!$B$28</c:f>
              <c:numCache>
                <c:formatCode>0.0</c:formatCode>
                <c:ptCount val="1"/>
                <c:pt idx="0">
                  <c:v>108.24773199999998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03-441D-B952-74FCBFB9C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55940"/>
        <c:axId val="12040981"/>
      </c:scatterChart>
      <c:valAx>
        <c:axId val="509559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Temperatura de diseño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2040981"/>
        <c:crosses val="autoZero"/>
        <c:crossBetween val="midCat"/>
      </c:valAx>
      <c:valAx>
        <c:axId val="1204098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Tensión admisible S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095594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17</xdr:col>
      <xdr:colOff>552450</xdr:colOff>
      <xdr:row>30</xdr:row>
      <xdr:rowOff>215640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130680</xdr:rowOff>
    </xdr:from>
    <xdr:to>
      <xdr:col>15</xdr:col>
      <xdr:colOff>140400</xdr:colOff>
      <xdr:row>30</xdr:row>
      <xdr:rowOff>215640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130680</xdr:rowOff>
    </xdr:from>
    <xdr:to>
      <xdr:col>15</xdr:col>
      <xdr:colOff>140400</xdr:colOff>
      <xdr:row>30</xdr:row>
      <xdr:rowOff>215640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showGridLines="0" tabSelected="1" zoomScaleNormal="100" workbookViewId="0">
      <selection activeCell="W24" sqref="W24"/>
    </sheetView>
  </sheetViews>
  <sheetFormatPr baseColWidth="10" defaultColWidth="8.7109375" defaultRowHeight="15" x14ac:dyDescent="0.25"/>
  <cols>
    <col min="1" max="1" width="34" customWidth="1"/>
    <col min="2" max="2" width="22" customWidth="1"/>
    <col min="3" max="5" width="13" customWidth="1"/>
    <col min="6" max="17" width="9.5703125" customWidth="1"/>
  </cols>
  <sheetData>
    <row r="1" spans="1:2" x14ac:dyDescent="0.25">
      <c r="A1" s="2" t="s">
        <v>0</v>
      </c>
    </row>
    <row r="2" spans="1:2" ht="20.25" x14ac:dyDescent="0.3">
      <c r="A2" s="3" t="s">
        <v>1</v>
      </c>
    </row>
    <row r="3" spans="1:2" x14ac:dyDescent="0.25">
      <c r="A3" s="4" t="s">
        <v>2</v>
      </c>
    </row>
    <row r="5" spans="1:2" ht="18" customHeight="1" x14ac:dyDescent="0.25">
      <c r="A5" s="5" t="s">
        <v>3</v>
      </c>
      <c r="B5" s="6"/>
    </row>
    <row r="6" spans="1:2" x14ac:dyDescent="0.25">
      <c r="A6" s="7" t="s">
        <v>4</v>
      </c>
      <c r="B6" s="8" t="s">
        <v>5</v>
      </c>
    </row>
    <row r="7" spans="1:2" x14ac:dyDescent="0.25">
      <c r="A7" s="7" t="s">
        <v>6</v>
      </c>
      <c r="B7" s="8" t="s">
        <v>7</v>
      </c>
    </row>
    <row r="8" spans="1:2" x14ac:dyDescent="0.25">
      <c r="A8" s="7" t="s">
        <v>8</v>
      </c>
      <c r="B8" s="8" t="s">
        <v>9</v>
      </c>
    </row>
    <row r="9" spans="1:2" x14ac:dyDescent="0.25">
      <c r="A9" s="7" t="s">
        <v>10</v>
      </c>
      <c r="B9" s="8" t="s">
        <v>11</v>
      </c>
    </row>
    <row r="10" spans="1:2" x14ac:dyDescent="0.25">
      <c r="A10" s="7" t="s">
        <v>12</v>
      </c>
      <c r="B10" s="9">
        <v>483</v>
      </c>
    </row>
    <row r="11" spans="1:2" x14ac:dyDescent="0.25">
      <c r="A11" s="7" t="s">
        <v>13</v>
      </c>
      <c r="B11" s="10">
        <v>262</v>
      </c>
    </row>
    <row r="12" spans="1:2" x14ac:dyDescent="0.25">
      <c r="A12" s="7" t="s">
        <v>14</v>
      </c>
      <c r="B12" s="11">
        <v>538</v>
      </c>
    </row>
    <row r="13" spans="1:2" x14ac:dyDescent="0.25">
      <c r="A13" s="7" t="s">
        <v>15</v>
      </c>
      <c r="B13" s="8" t="s">
        <v>16</v>
      </c>
    </row>
    <row r="15" spans="1:2" ht="18" customHeight="1" x14ac:dyDescent="0.25">
      <c r="A15" s="5" t="s">
        <v>17</v>
      </c>
      <c r="B15" s="6"/>
    </row>
    <row r="16" spans="1:2" x14ac:dyDescent="0.25">
      <c r="A16" s="7" t="s">
        <v>18</v>
      </c>
      <c r="B16" s="12">
        <v>1.6</v>
      </c>
    </row>
    <row r="17" spans="1:4" x14ac:dyDescent="0.25">
      <c r="A17" s="7" t="s">
        <v>19</v>
      </c>
      <c r="B17" s="13">
        <v>150</v>
      </c>
    </row>
    <row r="19" spans="1:4" ht="18" customHeight="1" x14ac:dyDescent="0.25">
      <c r="A19" s="5" t="s">
        <v>20</v>
      </c>
      <c r="B19" s="6"/>
    </row>
    <row r="20" spans="1:4" x14ac:dyDescent="0.25">
      <c r="A20" s="7" t="s">
        <v>21</v>
      </c>
      <c r="B20" s="14">
        <f>B28</f>
        <v>123.41620399999998</v>
      </c>
    </row>
    <row r="21" spans="1:4" ht="27.75" customHeight="1" x14ac:dyDescent="0.25">
      <c r="A21" s="7" t="s">
        <v>22</v>
      </c>
      <c r="B21" s="15" t="str">
        <f>IF(B17&lt;B24,"⚠ Por debajo del rango tabulado",IF(B17&gt;B25,"⚠ Fuera de rango — no hay S tabulada por encima de "&amp;TEXT(B25,"0")&amp;" °C","OK — dentro de rango"))</f>
        <v>OK — dentro de rango</v>
      </c>
    </row>
    <row r="23" spans="1:4" ht="18" customHeight="1" x14ac:dyDescent="0.25">
      <c r="A23" s="5" t="s">
        <v>23</v>
      </c>
      <c r="B23" s="6"/>
    </row>
    <row r="24" spans="1:4" x14ac:dyDescent="0.25">
      <c r="A24" s="7" t="s">
        <v>24</v>
      </c>
      <c r="B24" s="16">
        <f>INDEX($C$32:$C$47,1)</f>
        <v>37.777777777777779</v>
      </c>
    </row>
    <row r="25" spans="1:4" x14ac:dyDescent="0.25">
      <c r="A25" s="7" t="s">
        <v>25</v>
      </c>
      <c r="B25" s="16">
        <f>INDEX($C$32:$C$47,16)</f>
        <v>537.77777777777783</v>
      </c>
    </row>
    <row r="26" spans="1:4" x14ac:dyDescent="0.25">
      <c r="A26" s="7" t="s">
        <v>26</v>
      </c>
      <c r="B26" s="16">
        <f>MIN(MAX(B17,B24),B25)</f>
        <v>150</v>
      </c>
    </row>
    <row r="27" spans="1:4" x14ac:dyDescent="0.25">
      <c r="A27" s="7" t="s">
        <v>27</v>
      </c>
      <c r="B27" s="17">
        <f>MIN(MATCH(B26,$C$32:$C$47,1),16-1)</f>
        <v>5</v>
      </c>
    </row>
    <row r="28" spans="1:4" x14ac:dyDescent="0.25">
      <c r="A28" s="7" t="s">
        <v>28</v>
      </c>
      <c r="B28" s="16">
        <f>INDEX($D$32:$D$47,B27)+(B26-INDEX($C$32:$C$47,B27))/(INDEX($C$32:$C$47,B27+1)-INDEX($C$32:$C$47,B27))*(INDEX($D$32:$D$47,B27+1)-INDEX($D$32:$D$47,B27))</f>
        <v>123.41620399999998</v>
      </c>
    </row>
    <row r="30" spans="1:4" x14ac:dyDescent="0.25">
      <c r="A30" s="18" t="s">
        <v>29</v>
      </c>
    </row>
    <row r="31" spans="1:4" ht="25.5" customHeight="1" x14ac:dyDescent="0.25">
      <c r="A31" s="19" t="s">
        <v>30</v>
      </c>
      <c r="B31" s="19" t="s">
        <v>31</v>
      </c>
      <c r="C31" s="19" t="s">
        <v>32</v>
      </c>
      <c r="D31" s="19" t="s">
        <v>33</v>
      </c>
    </row>
    <row r="32" spans="1:4" x14ac:dyDescent="0.25">
      <c r="A32" s="20">
        <v>100</v>
      </c>
      <c r="B32" s="21">
        <v>17.899999999999999</v>
      </c>
      <c r="C32" s="21">
        <f t="shared" ref="C32:C47" si="0">(A32-32)*5/9</f>
        <v>37.777777777777779</v>
      </c>
      <c r="D32" s="21">
        <f t="shared" ref="D32:D47" si="1">B32*6.89476</f>
        <v>123.41620399999998</v>
      </c>
    </row>
    <row r="33" spans="1:4" x14ac:dyDescent="0.25">
      <c r="A33" s="20">
        <v>150</v>
      </c>
      <c r="B33" s="21">
        <v>17.899999999999999</v>
      </c>
      <c r="C33" s="21">
        <f t="shared" si="0"/>
        <v>65.555555555555557</v>
      </c>
      <c r="D33" s="21">
        <f t="shared" si="1"/>
        <v>123.41620399999998</v>
      </c>
    </row>
    <row r="34" spans="1:4" x14ac:dyDescent="0.25">
      <c r="A34" s="20">
        <v>200</v>
      </c>
      <c r="B34" s="21">
        <v>17.899999999999999</v>
      </c>
      <c r="C34" s="21">
        <f t="shared" si="0"/>
        <v>93.333333333333329</v>
      </c>
      <c r="D34" s="21">
        <f t="shared" si="1"/>
        <v>123.41620399999998</v>
      </c>
    </row>
    <row r="35" spans="1:4" x14ac:dyDescent="0.25">
      <c r="A35" s="20">
        <v>250</v>
      </c>
      <c r="B35" s="21">
        <v>17.899999999999999</v>
      </c>
      <c r="C35" s="21">
        <f t="shared" si="0"/>
        <v>121.11111111111111</v>
      </c>
      <c r="D35" s="21">
        <f t="shared" si="1"/>
        <v>123.41620399999998</v>
      </c>
    </row>
    <row r="36" spans="1:4" x14ac:dyDescent="0.25">
      <c r="A36" s="20">
        <v>300</v>
      </c>
      <c r="B36" s="21">
        <v>17.899999999999999</v>
      </c>
      <c r="C36" s="21">
        <f t="shared" si="0"/>
        <v>148.88888888888889</v>
      </c>
      <c r="D36" s="21">
        <f t="shared" si="1"/>
        <v>123.41620399999998</v>
      </c>
    </row>
    <row r="37" spans="1:4" x14ac:dyDescent="0.25">
      <c r="A37" s="20">
        <v>400</v>
      </c>
      <c r="B37" s="21">
        <v>17.899999999999999</v>
      </c>
      <c r="C37" s="21">
        <f t="shared" si="0"/>
        <v>204.44444444444446</v>
      </c>
      <c r="D37" s="21">
        <f t="shared" si="1"/>
        <v>123.41620399999998</v>
      </c>
    </row>
    <row r="38" spans="1:4" x14ac:dyDescent="0.25">
      <c r="A38" s="20">
        <v>500</v>
      </c>
      <c r="B38" s="21">
        <v>17.899999999999999</v>
      </c>
      <c r="C38" s="21">
        <f t="shared" si="0"/>
        <v>260</v>
      </c>
      <c r="D38" s="21">
        <f t="shared" si="1"/>
        <v>123.41620399999998</v>
      </c>
    </row>
    <row r="39" spans="1:4" x14ac:dyDescent="0.25">
      <c r="A39" s="20">
        <v>600</v>
      </c>
      <c r="B39" s="21">
        <v>17.899999999999999</v>
      </c>
      <c r="C39" s="21">
        <f t="shared" si="0"/>
        <v>315.55555555555554</v>
      </c>
      <c r="D39" s="21">
        <f t="shared" si="1"/>
        <v>123.41620399999998</v>
      </c>
    </row>
    <row r="40" spans="1:4" x14ac:dyDescent="0.25">
      <c r="A40" s="20">
        <v>650</v>
      </c>
      <c r="B40" s="21">
        <v>17.899999999999999</v>
      </c>
      <c r="C40" s="21">
        <f t="shared" si="0"/>
        <v>343.33333333333331</v>
      </c>
      <c r="D40" s="21">
        <f t="shared" si="1"/>
        <v>123.41620399999998</v>
      </c>
    </row>
    <row r="41" spans="1:4" x14ac:dyDescent="0.25">
      <c r="A41" s="20">
        <v>700</v>
      </c>
      <c r="B41" s="21">
        <v>16.899999999999999</v>
      </c>
      <c r="C41" s="21">
        <f t="shared" si="0"/>
        <v>371.11111111111109</v>
      </c>
      <c r="D41" s="21">
        <f t="shared" si="1"/>
        <v>116.52144399999999</v>
      </c>
    </row>
    <row r="42" spans="1:4" x14ac:dyDescent="0.25">
      <c r="A42" s="20">
        <v>750</v>
      </c>
      <c r="B42" s="21">
        <v>13.9</v>
      </c>
      <c r="C42" s="21">
        <f t="shared" si="0"/>
        <v>398.88888888888891</v>
      </c>
      <c r="D42" s="21">
        <f t="shared" si="1"/>
        <v>95.837164000000001</v>
      </c>
    </row>
    <row r="43" spans="1:4" x14ac:dyDescent="0.25">
      <c r="A43" s="20">
        <v>800</v>
      </c>
      <c r="B43" s="21">
        <v>11.4</v>
      </c>
      <c r="C43" s="21">
        <f t="shared" si="0"/>
        <v>426.66666666666669</v>
      </c>
      <c r="D43" s="21">
        <f t="shared" si="1"/>
        <v>78.600263999999996</v>
      </c>
    </row>
    <row r="44" spans="1:4" x14ac:dyDescent="0.25">
      <c r="A44" s="20">
        <v>850</v>
      </c>
      <c r="B44" s="21">
        <v>8.6999999999999993</v>
      </c>
      <c r="C44" s="21">
        <f t="shared" si="0"/>
        <v>454.44444444444446</v>
      </c>
      <c r="D44" s="21">
        <f t="shared" si="1"/>
        <v>59.984411999999992</v>
      </c>
    </row>
    <row r="45" spans="1:4" x14ac:dyDescent="0.25">
      <c r="A45" s="20">
        <v>900</v>
      </c>
      <c r="B45" s="21">
        <v>5.9</v>
      </c>
      <c r="C45" s="21">
        <f t="shared" si="0"/>
        <v>482.22222222222223</v>
      </c>
      <c r="D45" s="21">
        <f t="shared" si="1"/>
        <v>40.679084000000003</v>
      </c>
    </row>
    <row r="46" spans="1:4" x14ac:dyDescent="0.25">
      <c r="A46" s="20">
        <v>950</v>
      </c>
      <c r="B46" s="21">
        <v>4</v>
      </c>
      <c r="C46" s="21">
        <f t="shared" si="0"/>
        <v>510</v>
      </c>
      <c r="D46" s="21">
        <f t="shared" si="1"/>
        <v>27.579039999999999</v>
      </c>
    </row>
    <row r="47" spans="1:4" x14ac:dyDescent="0.25">
      <c r="A47" s="20">
        <v>1000</v>
      </c>
      <c r="B47" s="21">
        <v>2.5</v>
      </c>
      <c r="C47" s="21">
        <f t="shared" si="0"/>
        <v>537.77777777777783</v>
      </c>
      <c r="D47" s="21">
        <f t="shared" si="1"/>
        <v>17.236899999999999</v>
      </c>
    </row>
    <row r="49" spans="1:4" ht="13.5" customHeight="1" x14ac:dyDescent="0.25">
      <c r="A49" s="1" t="s">
        <v>34</v>
      </c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</sheetData>
  <mergeCells count="1">
    <mergeCell ref="A49:D5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showGridLines="0" zoomScaleNormal="100" workbookViewId="0"/>
  </sheetViews>
  <sheetFormatPr baseColWidth="10" defaultColWidth="8.7109375" defaultRowHeight="15" x14ac:dyDescent="0.25"/>
  <cols>
    <col min="1" max="1" width="34" customWidth="1"/>
    <col min="2" max="2" width="22" customWidth="1"/>
    <col min="3" max="5" width="13" customWidth="1"/>
    <col min="6" max="17" width="9.5703125" customWidth="1"/>
  </cols>
  <sheetData>
    <row r="1" spans="1:2" x14ac:dyDescent="0.25">
      <c r="A1" s="2" t="s">
        <v>0</v>
      </c>
    </row>
    <row r="2" spans="1:2" ht="20.25" x14ac:dyDescent="0.3">
      <c r="A2" s="3" t="s">
        <v>35</v>
      </c>
    </row>
    <row r="3" spans="1:2" x14ac:dyDescent="0.25">
      <c r="A3" s="4" t="s">
        <v>36</v>
      </c>
    </row>
    <row r="5" spans="1:2" ht="18" customHeight="1" x14ac:dyDescent="0.25">
      <c r="A5" s="5" t="s">
        <v>3</v>
      </c>
      <c r="B5" s="6"/>
    </row>
    <row r="6" spans="1:2" x14ac:dyDescent="0.25">
      <c r="A6" s="7" t="s">
        <v>4</v>
      </c>
      <c r="B6" s="8" t="s">
        <v>37</v>
      </c>
    </row>
    <row r="7" spans="1:2" x14ac:dyDescent="0.25">
      <c r="A7" s="7" t="s">
        <v>6</v>
      </c>
      <c r="B7" s="8" t="s">
        <v>38</v>
      </c>
    </row>
    <row r="8" spans="1:2" x14ac:dyDescent="0.25">
      <c r="A8" s="7" t="s">
        <v>8</v>
      </c>
      <c r="B8" s="8" t="s">
        <v>39</v>
      </c>
    </row>
    <row r="9" spans="1:2" x14ac:dyDescent="0.25">
      <c r="A9" s="7" t="s">
        <v>10</v>
      </c>
      <c r="B9" s="8" t="s">
        <v>11</v>
      </c>
    </row>
    <row r="10" spans="1:2" x14ac:dyDescent="0.25">
      <c r="A10" s="7" t="s">
        <v>12</v>
      </c>
      <c r="B10" s="9">
        <v>483</v>
      </c>
    </row>
    <row r="11" spans="1:2" x14ac:dyDescent="0.25">
      <c r="A11" s="7" t="s">
        <v>13</v>
      </c>
      <c r="B11" s="22">
        <v>248</v>
      </c>
    </row>
    <row r="12" spans="1:2" x14ac:dyDescent="0.25">
      <c r="A12" s="7" t="s">
        <v>40</v>
      </c>
      <c r="B12" s="23">
        <v>343</v>
      </c>
    </row>
    <row r="13" spans="1:2" x14ac:dyDescent="0.25">
      <c r="A13" s="7" t="s">
        <v>15</v>
      </c>
      <c r="B13" s="8" t="s">
        <v>16</v>
      </c>
    </row>
    <row r="15" spans="1:2" ht="18" customHeight="1" x14ac:dyDescent="0.25">
      <c r="A15" s="5" t="s">
        <v>17</v>
      </c>
      <c r="B15" s="6"/>
    </row>
    <row r="16" spans="1:2" x14ac:dyDescent="0.25">
      <c r="A16" s="7" t="s">
        <v>18</v>
      </c>
      <c r="B16" s="12">
        <v>1</v>
      </c>
    </row>
    <row r="17" spans="1:4" x14ac:dyDescent="0.25">
      <c r="A17" s="7" t="s">
        <v>19</v>
      </c>
      <c r="B17" s="13">
        <v>120</v>
      </c>
    </row>
    <row r="19" spans="1:4" ht="18" customHeight="1" x14ac:dyDescent="0.25">
      <c r="A19" s="5" t="s">
        <v>20</v>
      </c>
      <c r="B19" s="6"/>
    </row>
    <row r="20" spans="1:4" x14ac:dyDescent="0.25">
      <c r="A20" s="7" t="s">
        <v>21</v>
      </c>
      <c r="B20" s="14">
        <f>B28</f>
        <v>117.900396</v>
      </c>
    </row>
    <row r="21" spans="1:4" ht="27.75" customHeight="1" x14ac:dyDescent="0.25">
      <c r="A21" s="7" t="s">
        <v>22</v>
      </c>
      <c r="B21" s="15" t="str">
        <f>IF(B17&lt;B24,"⚠ Por debajo del rango tabulado",IF(B17&gt;B25,"⚠ Fuera de rango — no hay S tabulada por encima de "&amp;TEXT(B25,"0")&amp;" °C","OK — dentro de rango"))</f>
        <v>OK — dentro de rango</v>
      </c>
    </row>
    <row r="23" spans="1:4" ht="18" customHeight="1" x14ac:dyDescent="0.25">
      <c r="A23" s="5" t="s">
        <v>23</v>
      </c>
      <c r="B23" s="6"/>
    </row>
    <row r="24" spans="1:4" x14ac:dyDescent="0.25">
      <c r="A24" s="7" t="s">
        <v>24</v>
      </c>
      <c r="B24" s="16">
        <f>INDEX($C$32:$C$40,1)</f>
        <v>37.777777777777779</v>
      </c>
    </row>
    <row r="25" spans="1:4" x14ac:dyDescent="0.25">
      <c r="A25" s="7" t="s">
        <v>25</v>
      </c>
      <c r="B25" s="16">
        <f>INDEX($C$32:$C$40,9)</f>
        <v>343.33333333333331</v>
      </c>
    </row>
    <row r="26" spans="1:4" x14ac:dyDescent="0.25">
      <c r="A26" s="7" t="s">
        <v>26</v>
      </c>
      <c r="B26" s="16">
        <f>MIN(MAX(B17,B24),B25)</f>
        <v>120</v>
      </c>
    </row>
    <row r="27" spans="1:4" x14ac:dyDescent="0.25">
      <c r="A27" s="7" t="s">
        <v>27</v>
      </c>
      <c r="B27" s="17">
        <f>MIN(MATCH(B26,$C$32:$C$40,1),9-1)</f>
        <v>3</v>
      </c>
    </row>
    <row r="28" spans="1:4" x14ac:dyDescent="0.25">
      <c r="A28" s="7" t="s">
        <v>28</v>
      </c>
      <c r="B28" s="16">
        <f>INDEX($D$32:$D$40,B27)+(B26-INDEX($C$32:$C$40,B27))/(INDEX($C$32:$C$40,B27+1)-INDEX($C$32:$C$40,B27))*(INDEX($D$32:$D$40,B27+1)-INDEX($D$32:$D$40,B27))</f>
        <v>117.900396</v>
      </c>
    </row>
    <row r="30" spans="1:4" x14ac:dyDescent="0.25">
      <c r="A30" s="18" t="s">
        <v>41</v>
      </c>
    </row>
    <row r="31" spans="1:4" ht="25.5" customHeight="1" x14ac:dyDescent="0.25">
      <c r="A31" s="19" t="s">
        <v>30</v>
      </c>
      <c r="B31" s="19" t="s">
        <v>31</v>
      </c>
      <c r="C31" s="19" t="s">
        <v>32</v>
      </c>
      <c r="D31" s="19" t="s">
        <v>33</v>
      </c>
    </row>
    <row r="32" spans="1:4" x14ac:dyDescent="0.25">
      <c r="A32" s="20">
        <v>100</v>
      </c>
      <c r="B32" s="21">
        <v>17.100000000000001</v>
      </c>
      <c r="C32" s="21">
        <f t="shared" ref="C32:C40" si="0">(A32-32)*5/9</f>
        <v>37.777777777777779</v>
      </c>
      <c r="D32" s="21">
        <f t="shared" ref="D32:D40" si="1">B32*6.89476</f>
        <v>117.900396</v>
      </c>
    </row>
    <row r="33" spans="1:4" x14ac:dyDescent="0.25">
      <c r="A33" s="20">
        <v>150</v>
      </c>
      <c r="B33" s="21">
        <v>17.100000000000001</v>
      </c>
      <c r="C33" s="21">
        <f t="shared" si="0"/>
        <v>65.555555555555557</v>
      </c>
      <c r="D33" s="21">
        <f t="shared" si="1"/>
        <v>117.900396</v>
      </c>
    </row>
    <row r="34" spans="1:4" x14ac:dyDescent="0.25">
      <c r="A34" s="20">
        <v>200</v>
      </c>
      <c r="B34" s="21">
        <v>17.100000000000001</v>
      </c>
      <c r="C34" s="21">
        <f t="shared" si="0"/>
        <v>93.333333333333329</v>
      </c>
      <c r="D34" s="21">
        <f t="shared" si="1"/>
        <v>117.900396</v>
      </c>
    </row>
    <row r="35" spans="1:4" x14ac:dyDescent="0.25">
      <c r="A35" s="20">
        <v>250</v>
      </c>
      <c r="B35" s="21">
        <v>17.100000000000001</v>
      </c>
      <c r="C35" s="21">
        <f t="shared" si="0"/>
        <v>121.11111111111111</v>
      </c>
      <c r="D35" s="21">
        <f t="shared" si="1"/>
        <v>117.900396</v>
      </c>
    </row>
    <row r="36" spans="1:4" x14ac:dyDescent="0.25">
      <c r="A36" s="20">
        <v>300</v>
      </c>
      <c r="B36" s="21">
        <v>17.100000000000001</v>
      </c>
      <c r="C36" s="21">
        <f t="shared" si="0"/>
        <v>148.88888888888889</v>
      </c>
      <c r="D36" s="21">
        <f t="shared" si="1"/>
        <v>117.900396</v>
      </c>
    </row>
    <row r="37" spans="1:4" x14ac:dyDescent="0.25">
      <c r="A37" s="20">
        <v>400</v>
      </c>
      <c r="B37" s="21">
        <v>17.100000000000001</v>
      </c>
      <c r="C37" s="21">
        <f t="shared" si="0"/>
        <v>204.44444444444446</v>
      </c>
      <c r="D37" s="21">
        <f t="shared" si="1"/>
        <v>117.900396</v>
      </c>
    </row>
    <row r="38" spans="1:4" x14ac:dyDescent="0.25">
      <c r="A38" s="20">
        <v>500</v>
      </c>
      <c r="B38" s="21">
        <v>17.100000000000001</v>
      </c>
      <c r="C38" s="21">
        <f t="shared" si="0"/>
        <v>260</v>
      </c>
      <c r="D38" s="21">
        <f t="shared" si="1"/>
        <v>117.900396</v>
      </c>
    </row>
    <row r="39" spans="1:4" x14ac:dyDescent="0.25">
      <c r="A39" s="20">
        <v>600</v>
      </c>
      <c r="B39" s="21">
        <v>17.100000000000001</v>
      </c>
      <c r="C39" s="21">
        <f t="shared" si="0"/>
        <v>315.55555555555554</v>
      </c>
      <c r="D39" s="21">
        <f t="shared" si="1"/>
        <v>117.900396</v>
      </c>
    </row>
    <row r="40" spans="1:4" x14ac:dyDescent="0.25">
      <c r="A40" s="20">
        <v>650</v>
      </c>
      <c r="B40" s="21">
        <v>17.100000000000001</v>
      </c>
      <c r="C40" s="21">
        <f t="shared" si="0"/>
        <v>343.33333333333331</v>
      </c>
      <c r="D40" s="21">
        <f t="shared" si="1"/>
        <v>117.900396</v>
      </c>
    </row>
    <row r="42" spans="1:4" ht="13.5" customHeight="1" x14ac:dyDescent="0.25">
      <c r="A42" s="1" t="s">
        <v>42</v>
      </c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</sheetData>
  <mergeCells count="1">
    <mergeCell ref="A42:D4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"/>
  <sheetViews>
    <sheetView showGridLines="0" zoomScaleNormal="100" workbookViewId="0"/>
  </sheetViews>
  <sheetFormatPr baseColWidth="10" defaultColWidth="8.7109375" defaultRowHeight="15" x14ac:dyDescent="0.25"/>
  <cols>
    <col min="1" max="1" width="34" customWidth="1"/>
    <col min="2" max="2" width="22" customWidth="1"/>
    <col min="3" max="5" width="13" customWidth="1"/>
    <col min="6" max="17" width="9.5703125" customWidth="1"/>
  </cols>
  <sheetData>
    <row r="1" spans="1:2" x14ac:dyDescent="0.25">
      <c r="A1" s="2" t="s">
        <v>0</v>
      </c>
    </row>
    <row r="2" spans="1:2" ht="20.25" x14ac:dyDescent="0.3">
      <c r="A2" s="3" t="s">
        <v>43</v>
      </c>
    </row>
    <row r="3" spans="1:2" x14ac:dyDescent="0.25">
      <c r="A3" s="4" t="s">
        <v>44</v>
      </c>
    </row>
    <row r="5" spans="1:2" ht="18" customHeight="1" x14ac:dyDescent="0.25">
      <c r="A5" s="5" t="s">
        <v>3</v>
      </c>
      <c r="B5" s="6"/>
    </row>
    <row r="6" spans="1:2" x14ac:dyDescent="0.25">
      <c r="A6" s="7" t="s">
        <v>4</v>
      </c>
      <c r="B6" s="8" t="s">
        <v>43</v>
      </c>
    </row>
    <row r="7" spans="1:2" x14ac:dyDescent="0.25">
      <c r="A7" s="7" t="s">
        <v>6</v>
      </c>
      <c r="B7" s="8" t="s">
        <v>45</v>
      </c>
    </row>
    <row r="8" spans="1:2" x14ac:dyDescent="0.25">
      <c r="A8" s="7" t="s">
        <v>8</v>
      </c>
      <c r="B8" s="8" t="s">
        <v>46</v>
      </c>
    </row>
    <row r="9" spans="1:2" x14ac:dyDescent="0.25">
      <c r="A9" s="7" t="s">
        <v>10</v>
      </c>
      <c r="B9" s="8" t="s">
        <v>47</v>
      </c>
    </row>
    <row r="10" spans="1:2" x14ac:dyDescent="0.25">
      <c r="A10" s="7" t="s">
        <v>12</v>
      </c>
      <c r="B10" s="24">
        <v>414</v>
      </c>
    </row>
    <row r="11" spans="1:2" x14ac:dyDescent="0.25">
      <c r="A11" s="7" t="s">
        <v>13</v>
      </c>
      <c r="B11" s="25">
        <v>241</v>
      </c>
    </row>
    <row r="12" spans="1:2" x14ac:dyDescent="0.25">
      <c r="A12" s="7" t="s">
        <v>40</v>
      </c>
      <c r="B12" s="26">
        <v>482</v>
      </c>
    </row>
    <row r="13" spans="1:2" x14ac:dyDescent="0.25">
      <c r="A13" s="7" t="s">
        <v>15</v>
      </c>
      <c r="B13" s="8" t="s">
        <v>16</v>
      </c>
    </row>
    <row r="15" spans="1:2" ht="18" customHeight="1" x14ac:dyDescent="0.25">
      <c r="A15" s="5" t="s">
        <v>17</v>
      </c>
      <c r="B15" s="6"/>
    </row>
    <row r="16" spans="1:2" x14ac:dyDescent="0.25">
      <c r="A16" s="7" t="s">
        <v>18</v>
      </c>
      <c r="B16" s="12">
        <v>1.2</v>
      </c>
    </row>
    <row r="17" spans="1:4" x14ac:dyDescent="0.25">
      <c r="A17" s="7" t="s">
        <v>19</v>
      </c>
      <c r="B17" s="13">
        <v>200</v>
      </c>
    </row>
    <row r="19" spans="1:4" ht="18" customHeight="1" x14ac:dyDescent="0.25">
      <c r="A19" s="5" t="s">
        <v>20</v>
      </c>
      <c r="B19" s="6"/>
    </row>
    <row r="20" spans="1:4" x14ac:dyDescent="0.25">
      <c r="A20" s="7" t="s">
        <v>21</v>
      </c>
      <c r="B20" s="14">
        <f>B28</f>
        <v>108.24773199999998</v>
      </c>
    </row>
    <row r="21" spans="1:4" ht="27.75" customHeight="1" x14ac:dyDescent="0.25">
      <c r="A21" s="7" t="s">
        <v>22</v>
      </c>
      <c r="B21" s="15" t="str">
        <f>IF(B17&lt;B24,"⚠ Por debajo del rango tabulado",IF(B17&gt;B25,"⚠ Fuera de rango — no hay S tabulada por encima de "&amp;TEXT(B25,"0")&amp;" °C","OK — dentro de rango"))</f>
        <v>OK — dentro de rango</v>
      </c>
    </row>
    <row r="23" spans="1:4" ht="18" customHeight="1" x14ac:dyDescent="0.25">
      <c r="A23" s="5" t="s">
        <v>23</v>
      </c>
      <c r="B23" s="6"/>
    </row>
    <row r="24" spans="1:4" x14ac:dyDescent="0.25">
      <c r="A24" s="7" t="s">
        <v>24</v>
      </c>
      <c r="B24" s="16">
        <f>INDEX($C$32:$C$44,1)</f>
        <v>37.777777777777779</v>
      </c>
    </row>
    <row r="25" spans="1:4" x14ac:dyDescent="0.25">
      <c r="A25" s="7" t="s">
        <v>25</v>
      </c>
      <c r="B25" s="16">
        <f>INDEX($C$32:$C$44,13)</f>
        <v>482.22222222222223</v>
      </c>
    </row>
    <row r="26" spans="1:4" x14ac:dyDescent="0.25">
      <c r="A26" s="7" t="s">
        <v>26</v>
      </c>
      <c r="B26" s="16">
        <f>MIN(MAX(B17,B24),B25)</f>
        <v>200</v>
      </c>
    </row>
    <row r="27" spans="1:4" x14ac:dyDescent="0.25">
      <c r="A27" s="7" t="s">
        <v>27</v>
      </c>
      <c r="B27" s="17">
        <f>MIN(MATCH(B26,$C$32:$C$44,1),13-1)</f>
        <v>4</v>
      </c>
    </row>
    <row r="28" spans="1:4" x14ac:dyDescent="0.25">
      <c r="A28" s="7" t="s">
        <v>28</v>
      </c>
      <c r="B28" s="16">
        <f>INDEX($D$32:$D$44,B27)+(B26-INDEX($C$32:$C$44,B27))/(INDEX($C$32:$C$44,B27+1)-INDEX($C$32:$C$44,B27))*(INDEX($D$32:$D$44,B27+1)-INDEX($D$32:$D$44,B27))</f>
        <v>108.24773199999998</v>
      </c>
    </row>
    <row r="30" spans="1:4" x14ac:dyDescent="0.25">
      <c r="A30" s="18" t="s">
        <v>48</v>
      </c>
    </row>
    <row r="31" spans="1:4" ht="25.5" customHeight="1" x14ac:dyDescent="0.25">
      <c r="A31" s="19" t="s">
        <v>30</v>
      </c>
      <c r="B31" s="19" t="s">
        <v>31</v>
      </c>
      <c r="C31" s="19" t="s">
        <v>32</v>
      </c>
      <c r="D31" s="19" t="s">
        <v>33</v>
      </c>
    </row>
    <row r="32" spans="1:4" x14ac:dyDescent="0.25">
      <c r="A32" s="20">
        <v>100</v>
      </c>
      <c r="B32" s="21">
        <v>15.7</v>
      </c>
      <c r="C32" s="21">
        <f t="shared" ref="C32:C44" si="0">(A32-32)*5/9</f>
        <v>37.777777777777779</v>
      </c>
      <c r="D32" s="21">
        <f t="shared" ref="D32:D44" si="1">B32*6.89476</f>
        <v>108.24773199999998</v>
      </c>
    </row>
    <row r="33" spans="1:4" x14ac:dyDescent="0.25">
      <c r="A33" s="20">
        <v>150</v>
      </c>
      <c r="B33" s="21">
        <v>15.7</v>
      </c>
      <c r="C33" s="21">
        <f t="shared" si="0"/>
        <v>65.555555555555557</v>
      </c>
      <c r="D33" s="21">
        <f t="shared" si="1"/>
        <v>108.24773199999998</v>
      </c>
    </row>
    <row r="34" spans="1:4" x14ac:dyDescent="0.25">
      <c r="A34" s="20">
        <v>200</v>
      </c>
      <c r="B34" s="21">
        <v>15.7</v>
      </c>
      <c r="C34" s="21">
        <f t="shared" si="0"/>
        <v>93.333333333333329</v>
      </c>
      <c r="D34" s="21">
        <f t="shared" si="1"/>
        <v>108.24773199999998</v>
      </c>
    </row>
    <row r="35" spans="1:4" x14ac:dyDescent="0.25">
      <c r="A35" s="20">
        <v>300</v>
      </c>
      <c r="B35" s="21">
        <v>15.7</v>
      </c>
      <c r="C35" s="21">
        <f t="shared" si="0"/>
        <v>148.88888888888889</v>
      </c>
      <c r="D35" s="21">
        <f t="shared" si="1"/>
        <v>108.24773199999998</v>
      </c>
    </row>
    <row r="36" spans="1:4" x14ac:dyDescent="0.25">
      <c r="A36" s="20">
        <v>400</v>
      </c>
      <c r="B36" s="21">
        <v>15.7</v>
      </c>
      <c r="C36" s="21">
        <f t="shared" si="0"/>
        <v>204.44444444444446</v>
      </c>
      <c r="D36" s="21">
        <f t="shared" si="1"/>
        <v>108.24773199999998</v>
      </c>
    </row>
    <row r="37" spans="1:4" x14ac:dyDescent="0.25">
      <c r="A37" s="20">
        <v>500</v>
      </c>
      <c r="B37" s="21">
        <v>15.7</v>
      </c>
      <c r="C37" s="21">
        <f t="shared" si="0"/>
        <v>260</v>
      </c>
      <c r="D37" s="21">
        <f t="shared" si="1"/>
        <v>108.24773199999998</v>
      </c>
    </row>
    <row r="38" spans="1:4" x14ac:dyDescent="0.25">
      <c r="A38" s="20">
        <v>600</v>
      </c>
      <c r="B38" s="21">
        <v>15.7</v>
      </c>
      <c r="C38" s="21">
        <f t="shared" si="0"/>
        <v>315.55555555555554</v>
      </c>
      <c r="D38" s="21">
        <f t="shared" si="1"/>
        <v>108.24773199999998</v>
      </c>
    </row>
    <row r="39" spans="1:4" x14ac:dyDescent="0.25">
      <c r="A39" s="20">
        <v>650</v>
      </c>
      <c r="B39" s="21">
        <v>15.7</v>
      </c>
      <c r="C39" s="21">
        <f t="shared" si="0"/>
        <v>343.33333333333331</v>
      </c>
      <c r="D39" s="21">
        <f t="shared" si="1"/>
        <v>108.24773199999998</v>
      </c>
    </row>
    <row r="40" spans="1:4" x14ac:dyDescent="0.25">
      <c r="A40" s="20">
        <v>700</v>
      </c>
      <c r="B40" s="21">
        <v>15.6</v>
      </c>
      <c r="C40" s="21">
        <f t="shared" si="0"/>
        <v>371.11111111111109</v>
      </c>
      <c r="D40" s="21">
        <f t="shared" si="1"/>
        <v>107.558256</v>
      </c>
    </row>
    <row r="41" spans="1:4" x14ac:dyDescent="0.25">
      <c r="A41" s="20">
        <v>750</v>
      </c>
      <c r="B41" s="21">
        <v>13</v>
      </c>
      <c r="C41" s="21">
        <f t="shared" si="0"/>
        <v>398.88888888888891</v>
      </c>
      <c r="D41" s="21">
        <f t="shared" si="1"/>
        <v>89.631879999999995</v>
      </c>
    </row>
    <row r="42" spans="1:4" x14ac:dyDescent="0.25">
      <c r="A42" s="20">
        <v>800</v>
      </c>
      <c r="B42" s="21">
        <v>10.8</v>
      </c>
      <c r="C42" s="21">
        <f t="shared" si="0"/>
        <v>426.66666666666669</v>
      </c>
      <c r="D42" s="21">
        <f t="shared" si="1"/>
        <v>74.463408000000001</v>
      </c>
    </row>
    <row r="43" spans="1:4" x14ac:dyDescent="0.25">
      <c r="A43" s="20">
        <v>850</v>
      </c>
      <c r="B43" s="21">
        <v>8.6999999999999993</v>
      </c>
      <c r="C43" s="21">
        <f t="shared" si="0"/>
        <v>454.44444444444446</v>
      </c>
      <c r="D43" s="21">
        <f t="shared" si="1"/>
        <v>59.984411999999992</v>
      </c>
    </row>
    <row r="44" spans="1:4" x14ac:dyDescent="0.25">
      <c r="A44" s="20">
        <v>900</v>
      </c>
      <c r="B44" s="21">
        <v>5.9</v>
      </c>
      <c r="C44" s="21">
        <f t="shared" si="0"/>
        <v>482.22222222222223</v>
      </c>
      <c r="D44" s="21">
        <f t="shared" si="1"/>
        <v>40.679084000000003</v>
      </c>
    </row>
    <row r="46" spans="1:4" ht="13.5" customHeight="1" x14ac:dyDescent="0.25">
      <c r="A46" s="1" t="s">
        <v>49</v>
      </c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</sheetData>
  <mergeCells count="1">
    <mergeCell ref="A46:D4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SA-516 Gr 70</vt:lpstr>
      <vt:lpstr>SA-105</vt:lpstr>
      <vt:lpstr>SA-106 Gr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Antonio Manteiga Presedo</cp:lastModifiedBy>
  <cp:revision>1</cp:revision>
  <dcterms:created xsi:type="dcterms:W3CDTF">2026-09-12T20:49:54Z</dcterms:created>
  <dcterms:modified xsi:type="dcterms:W3CDTF">2026-09-13T06:50:01Z</dcterms:modified>
  <dc:language>en-US</dc:language>
</cp:coreProperties>
</file>