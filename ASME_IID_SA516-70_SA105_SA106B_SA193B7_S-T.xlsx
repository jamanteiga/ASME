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an\Documents\PROYECTOS\ASME\"/>
    </mc:Choice>
  </mc:AlternateContent>
  <xr:revisionPtr revIDLastSave="0" documentId="8_{E189939C-9A3F-445C-9165-31DC2A24E628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SA-516 Gr 70" sheetId="1" r:id="rId1"/>
    <sheet name="SA-105" sheetId="2" r:id="rId2"/>
    <sheet name="SA-106 Gr B" sheetId="3" r:id="rId3"/>
    <sheet name="SA-193 B7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3" i="4" l="1"/>
  <c r="F53" i="4"/>
  <c r="D53" i="4"/>
  <c r="B53" i="4"/>
  <c r="H52" i="4"/>
  <c r="F52" i="4"/>
  <c r="D52" i="4"/>
  <c r="B52" i="4"/>
  <c r="H51" i="4"/>
  <c r="F51" i="4"/>
  <c r="D51" i="4"/>
  <c r="B51" i="4"/>
  <c r="H50" i="4"/>
  <c r="F50" i="4"/>
  <c r="D50" i="4"/>
  <c r="B50" i="4"/>
  <c r="H49" i="4"/>
  <c r="F49" i="4"/>
  <c r="D49" i="4"/>
  <c r="B49" i="4"/>
  <c r="H48" i="4"/>
  <c r="F48" i="4"/>
  <c r="D48" i="4"/>
  <c r="B48" i="4"/>
  <c r="H47" i="4"/>
  <c r="F47" i="4"/>
  <c r="D47" i="4"/>
  <c r="B47" i="4"/>
  <c r="H46" i="4"/>
  <c r="F46" i="4"/>
  <c r="D46" i="4"/>
  <c r="B46" i="4"/>
  <c r="H45" i="4"/>
  <c r="F45" i="4"/>
  <c r="D45" i="4"/>
  <c r="B45" i="4"/>
  <c r="H44" i="4"/>
  <c r="F44" i="4"/>
  <c r="D44" i="4"/>
  <c r="B44" i="4"/>
  <c r="H43" i="4"/>
  <c r="F43" i="4"/>
  <c r="D43" i="4"/>
  <c r="B43" i="4"/>
  <c r="H42" i="4"/>
  <c r="F42" i="4"/>
  <c r="D42" i="4"/>
  <c r="B42" i="4"/>
  <c r="H41" i="4"/>
  <c r="F41" i="4"/>
  <c r="D41" i="4"/>
  <c r="B41" i="4"/>
  <c r="H40" i="4"/>
  <c r="F40" i="4"/>
  <c r="D40" i="4"/>
  <c r="B40" i="4"/>
  <c r="H39" i="4"/>
  <c r="F39" i="4"/>
  <c r="D39" i="4"/>
  <c r="B39" i="4"/>
  <c r="H38" i="4"/>
  <c r="F38" i="4"/>
  <c r="D38" i="4"/>
  <c r="B38" i="4"/>
  <c r="B29" i="4"/>
  <c r="B28" i="4"/>
  <c r="B23" i="4" s="1"/>
  <c r="B26" i="4"/>
  <c r="B27" i="4" s="1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B25" i="3"/>
  <c r="B24" i="3"/>
  <c r="B26" i="3" s="1"/>
  <c r="B27" i="3" s="1"/>
  <c r="B28" i="3" s="1"/>
  <c r="B20" i="3" s="1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B25" i="2"/>
  <c r="B24" i="2"/>
  <c r="B21" i="2" s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B25" i="1"/>
  <c r="B24" i="1"/>
  <c r="B26" i="1" s="1"/>
  <c r="B27" i="1" s="1"/>
  <c r="B28" i="1" s="1"/>
  <c r="B20" i="1" s="1"/>
  <c r="B22" i="4" l="1"/>
  <c r="B21" i="3"/>
  <c r="B30" i="4"/>
  <c r="B31" i="4" s="1"/>
  <c r="B26" i="2"/>
  <c r="B27" i="2" s="1"/>
  <c r="B28" i="2" s="1"/>
  <c r="B20" i="2" s="1"/>
  <c r="B21" i="1"/>
  <c r="B34" i="4" l="1"/>
  <c r="B33" i="4"/>
  <c r="B32" i="4"/>
  <c r="B21" i="4" s="1"/>
</calcChain>
</file>

<file path=xl/sharedStrings.xml><?xml version="1.0" encoding="utf-8"?>
<sst xmlns="http://schemas.openxmlformats.org/spreadsheetml/2006/main" count="156" uniqueCount="83">
  <si>
    <t>FICHA DE MATERIAL — ASME BPVC SECCIÓN II-D, TABLA 1A</t>
  </si>
  <si>
    <t>SA-516 Grado 70</t>
  </si>
  <si>
    <t>Plancha al carbono para recipientes a presión — Tabla 1A, línea 37</t>
  </si>
  <si>
    <t>IDENTIFICACIÓN DEL MATERIAL</t>
  </si>
  <si>
    <t>Especificación</t>
  </si>
  <si>
    <t>SA-516 / SA-516M Gr. 70 (Gr. 485)</t>
  </si>
  <si>
    <t>Composición / forma</t>
  </si>
  <si>
    <t>Acero al carbono · Plancha</t>
  </si>
  <si>
    <t>Número UNS</t>
  </si>
  <si>
    <t>K02700</t>
  </si>
  <si>
    <t>P-No / Grupo</t>
  </si>
  <si>
    <t>1 / 2</t>
  </si>
  <si>
    <t>Resistencia a tracción mín.</t>
  </si>
  <si>
    <t>Límite elástico mín.</t>
  </si>
  <si>
    <t>Temp. máx. aplicable (VIII-1)</t>
  </si>
  <si>
    <t>Carta de presión externa</t>
  </si>
  <si>
    <t>CS-2</t>
  </si>
  <si>
    <t>ENTRADAS (edite las celdas en amarillo)</t>
  </si>
  <si>
    <t>Presión de diseño P (MPa)</t>
  </si>
  <si>
    <t>Temperatura de diseño T (°C)</t>
  </si>
  <si>
    <t>RESULTADO</t>
  </si>
  <si>
    <t>S admisible interpolada (MPa)</t>
  </si>
  <si>
    <t>Estado</t>
  </si>
  <si>
    <t>CÁLCULO AUXILIAR (no editar)</t>
  </si>
  <si>
    <t>T mínima tabulada (°C)</t>
  </si>
  <si>
    <t>T máxima tabulada (°C)</t>
  </si>
  <si>
    <t>T aplicada al punto (°C, acotada al rango)</t>
  </si>
  <si>
    <t>Índice de interpolación</t>
  </si>
  <si>
    <t>S en el punto (MPa, acotada al rango)</t>
  </si>
  <si>
    <t>TABLA DE VALORES — Tabla 1A, línea 37 (SA-516 Gr. 70)</t>
  </si>
  <si>
    <t>T (°F)
fuente</t>
  </si>
  <si>
    <t>S (ksi)
fuente</t>
  </si>
  <si>
    <t>T (°C)
SI</t>
  </si>
  <si>
    <t>S (MPa)
SI</t>
  </si>
  <si>
    <t>Fuente: ASME BPVC Sección II, Parte D — Properties (Customary), edición 2015, Tabla 1A, línea 37 (ejemplar del usuario). Columnas T(°F)/S(ksi) son los valores publicados; T(°C)/S(MPa) se calculan por fórmula. Notas de Tabla 1A aplicables: G10, S1, T2 — verificar su alcance en el ejemplar de referencia. La interpolación entre puntos es lineal, igual que en el uso habitual de la Tabla 1A. Confirmar contra la edición y adenda vigentes antes de usar en diseño final.</t>
  </si>
  <si>
    <t>SA-105 (Normalizado)</t>
  </si>
  <si>
    <t>Forjado al carbono para bridas y accesorios — Tabla 1A, línea 23</t>
  </si>
  <si>
    <t>SA-105</t>
  </si>
  <si>
    <t>Acero al carbono · Forjado</t>
  </si>
  <si>
    <t>K03504</t>
  </si>
  <si>
    <t>T máx. con S tabulada</t>
  </si>
  <si>
    <t>TABLA DE VALORES — Tabla 1A, línea 23 (SA-105)</t>
  </si>
  <si>
    <t>Fuente: ASME BPVC Sección II, Parte D — Properties (Customary), edición 2015, Tabla 1A, línea 23 (SA-105, UNS K03504; ejemplar del usuario). El pedido habitual “SA-105N” se refiere a la condición normalizada (requisito suplementario de tenacidad); la especificación SA-105 no define grados, por lo que la Tabla 1A no tabula una S distinta para esa condición — se usa la misma línea. Esta línea no tiene S tabulada por encima de 650 °F (343 °C) en esta edición (notas G10, S1, T2); no extrapolar. Confirmar contra la edición y adenda vigentes antes de usar en diseño final.</t>
  </si>
  <si>
    <t>SA-106 Grado B</t>
  </si>
  <si>
    <t>Tubo sin costura al carbono para servicio a alta temperatura — Tabla 1A, línea 15</t>
  </si>
  <si>
    <t>Acero al carbono · Tubo s/costura</t>
  </si>
  <si>
    <t>K03006</t>
  </si>
  <si>
    <t>1 / 1</t>
  </si>
  <si>
    <t>TABLA DE VALORES — Tabla 1A, línea 15 (SA-106 Gr. B)</t>
  </si>
  <si>
    <t>Fuente: ASME BPVC Sección II, Parte D — Properties (Customary), edición 2015, Tabla 1A, línea 15 (SA-106 Gr. B, UNS K03006; ejemplar del usuario). Se omite la columna de 250 °F: esta línea no tiene valor tabulado en ese punto en esta edición (hueco real de la tabla, no un error de lectura); se interpola directamente entre 200 y 300 °F, que coinciden (15.7 ksi). Sin S tabulada por encima de 900 °F (482 °C) en esta línea, aunque el límite general de aplicabilidad de Sección VIII-1 llega a 1000 °F (538 °C) — no extrapolar más allá de 900 °F. Notas de Tabla 1A: G10, S1, T1 — verificar su alcance en el ejemplar de referencia. Confirmar contra la edición y adenda vigentes antes de usar en diseño final.</t>
  </si>
  <si>
    <t>FICHA DE MATERIAL — ASME BPVC SECCIÓN II-D, TABLA 3 (PERNERÍA)</t>
  </si>
  <si>
    <t>SA-193 Grado B7</t>
  </si>
  <si>
    <t>Perno/espárrago aleado Cr-Mo para pernería a alta resistencia — Tabla 3, líneas 27/30/31</t>
  </si>
  <si>
    <t>Acero aleado 1Cr-1/5Mo (Cr-Mo) · Perno / Espárrago</t>
  </si>
  <si>
    <t>G41400</t>
  </si>
  <si>
    <t>Clase ≤ 2.1/2" (63,5 mm) — Tracción/Límite elástico mín.</t>
  </si>
  <si>
    <t>862 / 724 MPa (125 / 105 ksi)</t>
  </si>
  <si>
    <t>Clase 2.1/2"–4" (63,5–101,6 mm) — Tracción/Límite elástico mín.</t>
  </si>
  <si>
    <t>793 / 655 MPa (115 / 95 ksi)</t>
  </si>
  <si>
    <t>Clase 4"–7" (101,6–177,8 mm) — Tracción/Límite elástico mín.</t>
  </si>
  <si>
    <t>689 / 517 MPa (100 / 75 ksi)</t>
  </si>
  <si>
    <t>Temp. máx. aplicable (VIII-1, las tres clases)</t>
  </si>
  <si>
    <t>No aplica (elemento de sujeción)</t>
  </si>
  <si>
    <t>Diámetro nominal del perno D (mm)</t>
  </si>
  <si>
    <t>Clase de diámetro aplicable</t>
  </si>
  <si>
    <t>Estado (temperatura)</t>
  </si>
  <si>
    <t>D en pulgadas (in)</t>
  </si>
  <si>
    <t>Índice de clase (1=≤2.5in, 2=2.5-4in, 3=4-7in, 4=fuera de rango)</t>
  </si>
  <si>
    <t>S≤2.5in en el punto (MPa)</t>
  </si>
  <si>
    <t>S 2.5-4in en el punto (MPa)</t>
  </si>
  <si>
    <t>S 4-7in en el punto (MPa)</t>
  </si>
  <si>
    <t>TABLA DE VALORES — Tabla 3, líneas 31 / 30 / 27 (SA-193 Gr. B7, por clase de diámetro)</t>
  </si>
  <si>
    <t>S ≤2.5"
(ksi)</t>
  </si>
  <si>
    <t>S ≤2.5"
(MPa)</t>
  </si>
  <si>
    <t>S 2.5-4"
(ksi)</t>
  </si>
  <si>
    <t>S 2.5-4"
(MPa)</t>
  </si>
  <si>
    <t>S 4-7"
(ksi)</t>
  </si>
  <si>
    <t>S 4-7"
(MPa)</t>
  </si>
  <si>
    <t>≤ 2.1/2" (línea 31)</t>
  </si>
  <si>
    <t>2.1/2"-4" (línea 30)</t>
  </si>
  <si>
    <t>4"-7" (línea 27)</t>
  </si>
  <si>
    <t>Punto de diseño (P, T, D)</t>
  </si>
  <si>
    <t>Fuente: ASME BPVC Sección II, Parte D — Properties (Customary), edición 2015, Tabla 3 (pernería), líneas 31 (≤2.1/2 in), 30 (2.1/2–4 in) y 27 (4–7 in); UNS G41400 (ejemplar del usuario). SA-194 Grado 2H (la tuerca habitualmente emparejada con B7) no tiene entrada propia de tensión admisible en la Tabla 1A/Tabla 3 — su resistencia se verifica frente al perno según ASME B18.2.2/B16.5, no por una curva S-T independiente; por eso esta ficha cubre el perno B7, que es el elemento que gobierna el cálculo de pernería a presión. Se omiten las columnas de 250/350/450 °F: estas tres líneas no tienen valor tabulado en esos puntos en esta edición (hueco real de la tabla, no un error de lectura). Las tres clases convergen a partir de 850 °F, donde el factor de reducción por temperatura pasa a gobernar sobre la resistencia a tracción de cada clase. Límites de aplicabilidad (idénticos en las tres clases): Sección III=800 °F, VIII-1=1000 °F, VIII-2=800 °F, XII=650 °F; nota T5 — verificar su alcance en el ejemplar de referencia. No extrapolar más allá de 1000 °F (538 °C). Confirmar contra la edición y adenda vigentes antes de usar en diseño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</si>
</sst>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&quot; MPa (70 ksi)&quot;"/>
    <numFmt numFmtId="165" formatCode="0&quot; MPa (38 ksi)&quot;"/>
    <numFmt numFmtId="166" formatCode="0&quot; °C (1000 °F)&quot;"/>
    <numFmt numFmtId="167" formatCode="0.0"/>
    <numFmt numFmtId="168" formatCode="0&quot; °C (650 °F)&quot;"/>
    <numFmt numFmtId="169" formatCode="0&quot; MPa (60 ksi)&quot;"/>
    <numFmt numFmtId="170" formatCode="0&quot; MPa (35 ksi)&quot;"/>
    <numFmt numFmtId="171" formatCode="0&quot; °C (900 °F)&quot;"/>
  </numFmts>
  <fonts count="13" x14ac:knownFonts="1">
    <font>
      <sz val="11"/>
      <color theme="1"/>
      <name val="Calibri"/>
      <family val="2"/>
      <charset val="1"/>
    </font>
    <font>
      <b/>
      <sz val="9"/>
      <color rgb="FF2A78D6"/>
      <name val="Arial"/>
      <family val="2"/>
    </font>
    <font>
      <b/>
      <sz val="16"/>
      <color rgb="FF14191D"/>
      <name val="Arial"/>
      <family val="2"/>
    </font>
    <font>
      <i/>
      <sz val="10"/>
      <color rgb="FF6B7480"/>
      <name val="Arial"/>
      <family val="2"/>
    </font>
    <font>
      <b/>
      <sz val="10"/>
      <color rgb="FFFFFFFF"/>
      <name val="Arial"/>
      <family val="2"/>
    </font>
    <font>
      <sz val="10"/>
      <color rgb="FF6B7480"/>
      <name val="Arial"/>
      <family val="2"/>
    </font>
    <font>
      <b/>
      <sz val="10"/>
      <color rgb="FF14191D"/>
      <name val="Arial"/>
      <family val="2"/>
    </font>
    <font>
      <b/>
      <sz val="10"/>
      <color rgb="FF0000FF"/>
      <name val="Arial"/>
      <family val="2"/>
    </font>
    <font>
      <b/>
      <sz val="11"/>
      <color rgb="FF2A78D6"/>
      <name val="Arial"/>
      <family val="2"/>
    </font>
    <font>
      <b/>
      <sz val="9"/>
      <color rgb="FFFFFFFF"/>
      <name val="Arial"/>
      <family val="2"/>
    </font>
    <font>
      <sz val="9"/>
      <color rgb="FF14191D"/>
      <name val="Arial"/>
      <family val="2"/>
    </font>
    <font>
      <i/>
      <sz val="8.5"/>
      <color rgb="FF6B7480"/>
      <name val="Arial"/>
      <family val="2"/>
    </font>
    <font>
      <sz val="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91D"/>
        <bgColor rgb="FF000000"/>
      </patternFill>
    </fill>
    <fill>
      <patternFill patternType="solid">
        <fgColor rgb="FFFFF6CC"/>
        <bgColor rgb="FFFFFFFF"/>
      </patternFill>
    </fill>
    <fill>
      <patternFill patternType="solid">
        <fgColor rgb="FF6B7480"/>
        <bgColor rgb="FF878787"/>
      </patternFill>
    </fill>
  </fills>
  <borders count="2">
    <border>
      <left/>
      <right/>
      <top/>
      <bottom/>
      <diagonal/>
    </border>
    <border>
      <left style="thin">
        <color rgb="FFD8DCDA"/>
      </left>
      <right style="thin">
        <color rgb="FFD8DCDA"/>
      </right>
      <top style="thin">
        <color rgb="FFD8DCDA"/>
      </top>
      <bottom style="thin">
        <color rgb="FFD8DCD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1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2" fontId="7" fillId="3" borderId="1" xfId="0" applyNumberFormat="1" applyFont="1" applyFill="1" applyBorder="1" applyAlignment="1">
      <alignment horizontal="right"/>
    </xf>
    <xf numFmtId="167" fontId="7" fillId="3" borderId="1" xfId="0" applyNumberFormat="1" applyFont="1" applyFill="1" applyBorder="1" applyAlignment="1">
      <alignment horizontal="right"/>
    </xf>
    <xf numFmtId="167" fontId="8" fillId="0" borderId="0" xfId="0" applyNumberFormat="1" applyFont="1" applyAlignment="1">
      <alignment horizontal="right"/>
    </xf>
    <xf numFmtId="0" fontId="6" fillId="0" borderId="0" xfId="0" applyFont="1" applyAlignment="1">
      <alignment horizontal="right" wrapText="1"/>
    </xf>
    <xf numFmtId="167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6" fillId="0" borderId="0" xfId="0" applyFont="1"/>
    <xf numFmtId="0" fontId="9" fillId="4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168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71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CDA"/>
      <rgbColor rgb="FF878787"/>
      <rgbColor rgb="FF9999FF"/>
      <rgbColor rgb="FFE34948"/>
      <rgbColor rgb="FFFFF6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B7480"/>
      <rgbColor rgb="FF969696"/>
      <rgbColor rgb="FF003366"/>
      <rgbColor rgb="FF1BAF7A"/>
      <rgbColor rgb="FF14191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SA-516 Grado 70 — S vs.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Tabla 1A</c:v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'SA-516 Gr 70'!$C$32:$C$47</c:f>
              <c:numCache>
                <c:formatCode>0.0</c:formatCode>
                <c:ptCount val="16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121.11111111111111</c:v>
                </c:pt>
                <c:pt idx="4">
                  <c:v>148.88888888888889</c:v>
                </c:pt>
                <c:pt idx="5">
                  <c:v>204.44444444444446</c:v>
                </c:pt>
                <c:pt idx="6">
                  <c:v>260</c:v>
                </c:pt>
                <c:pt idx="7">
                  <c:v>315.55555555555554</c:v>
                </c:pt>
                <c:pt idx="8">
                  <c:v>343.33333333333331</c:v>
                </c:pt>
                <c:pt idx="9">
                  <c:v>371.11111111111109</c:v>
                </c:pt>
                <c:pt idx="10">
                  <c:v>398.88888888888891</c:v>
                </c:pt>
                <c:pt idx="11">
                  <c:v>426.66666666666669</c:v>
                </c:pt>
                <c:pt idx="12">
                  <c:v>454.44444444444446</c:v>
                </c:pt>
                <c:pt idx="13">
                  <c:v>482.22222222222223</c:v>
                </c:pt>
                <c:pt idx="14">
                  <c:v>510</c:v>
                </c:pt>
                <c:pt idx="15">
                  <c:v>537.77777777777783</c:v>
                </c:pt>
              </c:numCache>
            </c:numRef>
          </c:xVal>
          <c:yVal>
            <c:numRef>
              <c:f>'SA-516 Gr 70'!$D$32:$D$47</c:f>
              <c:numCache>
                <c:formatCode>0.0</c:formatCode>
                <c:ptCount val="16"/>
                <c:pt idx="0">
                  <c:v>123.41620399999998</c:v>
                </c:pt>
                <c:pt idx="1">
                  <c:v>123.41620399999998</c:v>
                </c:pt>
                <c:pt idx="2">
                  <c:v>123.41620399999998</c:v>
                </c:pt>
                <c:pt idx="3">
                  <c:v>123.41620399999998</c:v>
                </c:pt>
                <c:pt idx="4">
                  <c:v>123.41620399999998</c:v>
                </c:pt>
                <c:pt idx="5">
                  <c:v>123.41620399999998</c:v>
                </c:pt>
                <c:pt idx="6">
                  <c:v>123.41620399999998</c:v>
                </c:pt>
                <c:pt idx="7">
                  <c:v>123.41620399999998</c:v>
                </c:pt>
                <c:pt idx="8">
                  <c:v>123.41620399999998</c:v>
                </c:pt>
                <c:pt idx="9">
                  <c:v>116.52144399999999</c:v>
                </c:pt>
                <c:pt idx="10">
                  <c:v>95.837164000000001</c:v>
                </c:pt>
                <c:pt idx="11">
                  <c:v>78.600263999999996</c:v>
                </c:pt>
                <c:pt idx="12">
                  <c:v>59.984411999999992</c:v>
                </c:pt>
                <c:pt idx="13">
                  <c:v>40.679084000000003</c:v>
                </c:pt>
                <c:pt idx="14">
                  <c:v>27.579039999999999</c:v>
                </c:pt>
                <c:pt idx="15">
                  <c:v>17.236899999999999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63-4D8A-A0FA-36A99B3CA9EF}"/>
            </c:ext>
          </c:extLst>
        </c:ser>
        <c:ser>
          <c:idx val="1"/>
          <c:order val="1"/>
          <c:tx>
            <c:v>Punto de diseño (P, T)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B68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'SA-516 Gr 70'!$B$26</c:f>
              <c:numCache>
                <c:formatCode>0.0</c:formatCode>
                <c:ptCount val="1"/>
                <c:pt idx="0">
                  <c:v>150</c:v>
                </c:pt>
              </c:numCache>
            </c:numRef>
          </c:xVal>
          <c:yVal>
            <c:numRef>
              <c:f>'SA-516 Gr 70'!$B$28</c:f>
              <c:numCache>
                <c:formatCode>0.0</c:formatCode>
                <c:ptCount val="1"/>
                <c:pt idx="0">
                  <c:v>123.41620399999998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63-4D8A-A0FA-36A99B3CA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53665"/>
        <c:axId val="54409667"/>
      </c:scatterChart>
      <c:valAx>
        <c:axId val="777536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Temperatura de diseño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409667"/>
        <c:crosses val="autoZero"/>
        <c:crossBetween val="midCat"/>
      </c:valAx>
      <c:valAx>
        <c:axId val="544096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Tensión admisible 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775366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SA-105 (Normalizado) — S vs.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Tabla 1A</c:v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'SA-105'!$C$32:$C$40</c:f>
              <c:numCache>
                <c:formatCode>0.0</c:formatCode>
                <c:ptCount val="9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121.11111111111111</c:v>
                </c:pt>
                <c:pt idx="4">
                  <c:v>148.88888888888889</c:v>
                </c:pt>
                <c:pt idx="5">
                  <c:v>204.44444444444446</c:v>
                </c:pt>
                <c:pt idx="6">
                  <c:v>260</c:v>
                </c:pt>
                <c:pt idx="7">
                  <c:v>315.55555555555554</c:v>
                </c:pt>
                <c:pt idx="8">
                  <c:v>343.33333333333331</c:v>
                </c:pt>
              </c:numCache>
            </c:numRef>
          </c:xVal>
          <c:yVal>
            <c:numRef>
              <c:f>'SA-105'!$D$32:$D$40</c:f>
              <c:numCache>
                <c:formatCode>0.0</c:formatCode>
                <c:ptCount val="9"/>
                <c:pt idx="0">
                  <c:v>117.900396</c:v>
                </c:pt>
                <c:pt idx="1">
                  <c:v>117.900396</c:v>
                </c:pt>
                <c:pt idx="2">
                  <c:v>117.900396</c:v>
                </c:pt>
                <c:pt idx="3">
                  <c:v>117.900396</c:v>
                </c:pt>
                <c:pt idx="4">
                  <c:v>117.900396</c:v>
                </c:pt>
                <c:pt idx="5">
                  <c:v>117.900396</c:v>
                </c:pt>
                <c:pt idx="6">
                  <c:v>117.900396</c:v>
                </c:pt>
                <c:pt idx="7">
                  <c:v>117.900396</c:v>
                </c:pt>
                <c:pt idx="8">
                  <c:v>117.900396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6D-4310-9177-E4B9A8D9A0D5}"/>
            </c:ext>
          </c:extLst>
        </c:ser>
        <c:ser>
          <c:idx val="1"/>
          <c:order val="1"/>
          <c:tx>
            <c:v>Punto de diseño (P, T)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B68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'SA-105'!$B$26</c:f>
              <c:numCache>
                <c:formatCode>0.0</c:formatCode>
                <c:ptCount val="1"/>
                <c:pt idx="0">
                  <c:v>120</c:v>
                </c:pt>
              </c:numCache>
            </c:numRef>
          </c:xVal>
          <c:yVal>
            <c:numRef>
              <c:f>'SA-105'!$B$28</c:f>
              <c:numCache>
                <c:formatCode>0.0</c:formatCode>
                <c:ptCount val="1"/>
                <c:pt idx="0">
                  <c:v>117.900396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6D-4310-9177-E4B9A8D9A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26032"/>
        <c:axId val="41311977"/>
      </c:scatterChart>
      <c:valAx>
        <c:axId val="72126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Temperatura de diseño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1311977"/>
        <c:crosses val="autoZero"/>
        <c:crossBetween val="midCat"/>
      </c:valAx>
      <c:valAx>
        <c:axId val="413119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Tensión admisible 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212603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SA-106 Grado B — S vs.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Tabla 1A</c:v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'SA-106 Gr B'!$C$32:$C$44</c:f>
              <c:numCache>
                <c:formatCode>0.0</c:formatCode>
                <c:ptCount val="13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148.88888888888889</c:v>
                </c:pt>
                <c:pt idx="4">
                  <c:v>204.44444444444446</c:v>
                </c:pt>
                <c:pt idx="5">
                  <c:v>260</c:v>
                </c:pt>
                <c:pt idx="6">
                  <c:v>315.55555555555554</c:v>
                </c:pt>
                <c:pt idx="7">
                  <c:v>343.33333333333331</c:v>
                </c:pt>
                <c:pt idx="8">
                  <c:v>371.11111111111109</c:v>
                </c:pt>
                <c:pt idx="9">
                  <c:v>398.88888888888891</c:v>
                </c:pt>
                <c:pt idx="10">
                  <c:v>426.66666666666669</c:v>
                </c:pt>
                <c:pt idx="11">
                  <c:v>454.44444444444446</c:v>
                </c:pt>
                <c:pt idx="12">
                  <c:v>482.22222222222223</c:v>
                </c:pt>
              </c:numCache>
            </c:numRef>
          </c:xVal>
          <c:yVal>
            <c:numRef>
              <c:f>'SA-106 Gr B'!$D$32:$D$44</c:f>
              <c:numCache>
                <c:formatCode>0.0</c:formatCode>
                <c:ptCount val="13"/>
                <c:pt idx="0">
                  <c:v>108.24773199999998</c:v>
                </c:pt>
                <c:pt idx="1">
                  <c:v>108.24773199999998</c:v>
                </c:pt>
                <c:pt idx="2">
                  <c:v>108.24773199999998</c:v>
                </c:pt>
                <c:pt idx="3">
                  <c:v>108.24773199999998</c:v>
                </c:pt>
                <c:pt idx="4">
                  <c:v>108.24773199999998</c:v>
                </c:pt>
                <c:pt idx="5">
                  <c:v>108.24773199999998</c:v>
                </c:pt>
                <c:pt idx="6">
                  <c:v>108.24773199999998</c:v>
                </c:pt>
                <c:pt idx="7">
                  <c:v>108.24773199999998</c:v>
                </c:pt>
                <c:pt idx="8">
                  <c:v>107.558256</c:v>
                </c:pt>
                <c:pt idx="9">
                  <c:v>89.631879999999995</c:v>
                </c:pt>
                <c:pt idx="10">
                  <c:v>74.463408000000001</c:v>
                </c:pt>
                <c:pt idx="11">
                  <c:v>59.984411999999992</c:v>
                </c:pt>
                <c:pt idx="12">
                  <c:v>40.679084000000003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9-4602-A2B4-6BA59693CA53}"/>
            </c:ext>
          </c:extLst>
        </c:ser>
        <c:ser>
          <c:idx val="1"/>
          <c:order val="1"/>
          <c:tx>
            <c:v>Punto de diseño (P, T)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B68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'SA-106 Gr B'!$B$26</c:f>
              <c:numCache>
                <c:formatCode>0.0</c:formatCode>
                <c:ptCount val="1"/>
                <c:pt idx="0">
                  <c:v>200</c:v>
                </c:pt>
              </c:numCache>
            </c:numRef>
          </c:xVal>
          <c:yVal>
            <c:numRef>
              <c:f>'SA-106 Gr B'!$B$28</c:f>
              <c:numCache>
                <c:formatCode>0.0</c:formatCode>
                <c:ptCount val="1"/>
                <c:pt idx="0">
                  <c:v>108.24773199999998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9-4602-A2B4-6BA59693C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25055"/>
        <c:axId val="31087217"/>
      </c:scatterChart>
      <c:valAx>
        <c:axId val="540250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Temperatura de diseño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1087217"/>
        <c:crosses val="autoZero"/>
        <c:crossBetween val="midCat"/>
      </c:valAx>
      <c:valAx>
        <c:axId val="3108721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Tensión admisible 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0250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SA-193 Grado B7 — S vs. T (tres clases de diámetro)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'SA-193 B7'!$X$37</c:f>
              <c:strCache>
                <c:ptCount val="1"/>
                <c:pt idx="0">
                  <c:v>≤ 2.1/2" (línea 31)</c:v>
                </c:pt>
              </c:strCache>
            </c:strRef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'SA-193 B7'!$B$38:$B$53</c:f>
              <c:numCache>
                <c:formatCode>0.0</c:formatCode>
                <c:ptCount val="16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148.88888888888889</c:v>
                </c:pt>
                <c:pt idx="4">
                  <c:v>204.44444444444446</c:v>
                </c:pt>
                <c:pt idx="5">
                  <c:v>260</c:v>
                </c:pt>
                <c:pt idx="6">
                  <c:v>287.77777777777777</c:v>
                </c:pt>
                <c:pt idx="7">
                  <c:v>315.55555555555554</c:v>
                </c:pt>
                <c:pt idx="8">
                  <c:v>343.33333333333331</c:v>
                </c:pt>
                <c:pt idx="9">
                  <c:v>371.11111111111109</c:v>
                </c:pt>
                <c:pt idx="10">
                  <c:v>398.88888888888891</c:v>
                </c:pt>
                <c:pt idx="11">
                  <c:v>426.66666666666669</c:v>
                </c:pt>
                <c:pt idx="12">
                  <c:v>454.44444444444446</c:v>
                </c:pt>
                <c:pt idx="13">
                  <c:v>482.22222222222223</c:v>
                </c:pt>
                <c:pt idx="14">
                  <c:v>510</c:v>
                </c:pt>
                <c:pt idx="15">
                  <c:v>537.77777777777783</c:v>
                </c:pt>
              </c:numCache>
            </c:numRef>
          </c:xVal>
          <c:yVal>
            <c:numRef>
              <c:f>'SA-193 B7'!$D$38:$D$53</c:f>
              <c:numCache>
                <c:formatCode>0.0</c:formatCode>
                <c:ptCount val="16"/>
                <c:pt idx="0">
                  <c:v>172.369</c:v>
                </c:pt>
                <c:pt idx="1">
                  <c:v>172.369</c:v>
                </c:pt>
                <c:pt idx="2">
                  <c:v>172.369</c:v>
                </c:pt>
                <c:pt idx="3">
                  <c:v>172.369</c:v>
                </c:pt>
                <c:pt idx="4">
                  <c:v>172.369</c:v>
                </c:pt>
                <c:pt idx="5">
                  <c:v>172.369</c:v>
                </c:pt>
                <c:pt idx="6">
                  <c:v>172.369</c:v>
                </c:pt>
                <c:pt idx="7">
                  <c:v>172.369</c:v>
                </c:pt>
                <c:pt idx="8">
                  <c:v>172.369</c:v>
                </c:pt>
                <c:pt idx="9">
                  <c:v>172.369</c:v>
                </c:pt>
                <c:pt idx="10">
                  <c:v>162.71633600000001</c:v>
                </c:pt>
                <c:pt idx="11">
                  <c:v>144.78996000000001</c:v>
                </c:pt>
                <c:pt idx="12">
                  <c:v>112.38458800000001</c:v>
                </c:pt>
                <c:pt idx="13">
                  <c:v>86.1845</c:v>
                </c:pt>
                <c:pt idx="14">
                  <c:v>58.605460000000001</c:v>
                </c:pt>
                <c:pt idx="15">
                  <c:v>31.026419999999998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BF-44C0-AAA6-838A5A9D4219}"/>
            </c:ext>
          </c:extLst>
        </c:ser>
        <c:ser>
          <c:idx val="1"/>
          <c:order val="1"/>
          <c:tx>
            <c:strRef>
              <c:f>'SA-193 B7'!$Z$37</c:f>
              <c:strCache>
                <c:ptCount val="1"/>
                <c:pt idx="0">
                  <c:v>2.1/2"-4" (línea 30)</c:v>
                </c:pt>
              </c:strCache>
            </c:strRef>
          </c:tx>
          <c:spPr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'SA-193 B7'!$B$38:$B$53</c:f>
              <c:numCache>
                <c:formatCode>0.0</c:formatCode>
                <c:ptCount val="16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148.88888888888889</c:v>
                </c:pt>
                <c:pt idx="4">
                  <c:v>204.44444444444446</c:v>
                </c:pt>
                <c:pt idx="5">
                  <c:v>260</c:v>
                </c:pt>
                <c:pt idx="6">
                  <c:v>287.77777777777777</c:v>
                </c:pt>
                <c:pt idx="7">
                  <c:v>315.55555555555554</c:v>
                </c:pt>
                <c:pt idx="8">
                  <c:v>343.33333333333331</c:v>
                </c:pt>
                <c:pt idx="9">
                  <c:v>371.11111111111109</c:v>
                </c:pt>
                <c:pt idx="10">
                  <c:v>398.88888888888891</c:v>
                </c:pt>
                <c:pt idx="11">
                  <c:v>426.66666666666669</c:v>
                </c:pt>
                <c:pt idx="12">
                  <c:v>454.44444444444446</c:v>
                </c:pt>
                <c:pt idx="13">
                  <c:v>482.22222222222223</c:v>
                </c:pt>
                <c:pt idx="14">
                  <c:v>510</c:v>
                </c:pt>
                <c:pt idx="15">
                  <c:v>537.77777777777783</c:v>
                </c:pt>
              </c:numCache>
            </c:numRef>
          </c:xVal>
          <c:yVal>
            <c:numRef>
              <c:f>'SA-193 B7'!$F$38:$F$53</c:f>
              <c:numCache>
                <c:formatCode>0.0</c:formatCode>
                <c:ptCount val="16"/>
                <c:pt idx="0">
                  <c:v>158.57947999999999</c:v>
                </c:pt>
                <c:pt idx="1">
                  <c:v>158.57947999999999</c:v>
                </c:pt>
                <c:pt idx="2">
                  <c:v>158.57947999999999</c:v>
                </c:pt>
                <c:pt idx="3">
                  <c:v>158.57947999999999</c:v>
                </c:pt>
                <c:pt idx="4">
                  <c:v>158.57947999999999</c:v>
                </c:pt>
                <c:pt idx="5">
                  <c:v>158.57947999999999</c:v>
                </c:pt>
                <c:pt idx="6">
                  <c:v>158.57947999999999</c:v>
                </c:pt>
                <c:pt idx="7">
                  <c:v>158.57947999999999</c:v>
                </c:pt>
                <c:pt idx="8">
                  <c:v>158.57947999999999</c:v>
                </c:pt>
                <c:pt idx="9">
                  <c:v>158.57947999999999</c:v>
                </c:pt>
                <c:pt idx="10">
                  <c:v>153.063672</c:v>
                </c:pt>
                <c:pt idx="11">
                  <c:v>137.89519999999999</c:v>
                </c:pt>
                <c:pt idx="12">
                  <c:v>112.38458800000001</c:v>
                </c:pt>
                <c:pt idx="13">
                  <c:v>86.1845</c:v>
                </c:pt>
                <c:pt idx="14">
                  <c:v>58.605460000000001</c:v>
                </c:pt>
                <c:pt idx="15">
                  <c:v>31.026419999999998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BF-44C0-AAA6-838A5A9D4219}"/>
            </c:ext>
          </c:extLst>
        </c:ser>
        <c:ser>
          <c:idx val="2"/>
          <c:order val="2"/>
          <c:tx>
            <c:strRef>
              <c:f>'SA-193 B7'!$AB$37</c:f>
              <c:strCache>
                <c:ptCount val="1"/>
                <c:pt idx="0">
                  <c:v>4"-7" (línea 27)</c:v>
                </c:pt>
              </c:strCache>
            </c:strRef>
          </c:tx>
          <c:spPr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'SA-193 B7'!$B$38:$B$53</c:f>
              <c:numCache>
                <c:formatCode>0.0</c:formatCode>
                <c:ptCount val="16"/>
                <c:pt idx="0">
                  <c:v>37.777777777777779</c:v>
                </c:pt>
                <c:pt idx="1">
                  <c:v>65.555555555555557</c:v>
                </c:pt>
                <c:pt idx="2">
                  <c:v>93.333333333333329</c:v>
                </c:pt>
                <c:pt idx="3">
                  <c:v>148.88888888888889</c:v>
                </c:pt>
                <c:pt idx="4">
                  <c:v>204.44444444444446</c:v>
                </c:pt>
                <c:pt idx="5">
                  <c:v>260</c:v>
                </c:pt>
                <c:pt idx="6">
                  <c:v>287.77777777777777</c:v>
                </c:pt>
                <c:pt idx="7">
                  <c:v>315.55555555555554</c:v>
                </c:pt>
                <c:pt idx="8">
                  <c:v>343.33333333333331</c:v>
                </c:pt>
                <c:pt idx="9">
                  <c:v>371.11111111111109</c:v>
                </c:pt>
                <c:pt idx="10">
                  <c:v>398.88888888888891</c:v>
                </c:pt>
                <c:pt idx="11">
                  <c:v>426.66666666666669</c:v>
                </c:pt>
                <c:pt idx="12">
                  <c:v>454.44444444444446</c:v>
                </c:pt>
                <c:pt idx="13">
                  <c:v>482.22222222222223</c:v>
                </c:pt>
                <c:pt idx="14">
                  <c:v>510</c:v>
                </c:pt>
                <c:pt idx="15">
                  <c:v>537.77777777777783</c:v>
                </c:pt>
              </c:numCache>
            </c:numRef>
          </c:xVal>
          <c:yVal>
            <c:numRef>
              <c:f>'SA-193 B7'!$H$38:$H$53</c:f>
              <c:numCache>
                <c:formatCode>0.0</c:formatCode>
                <c:ptCount val="16"/>
                <c:pt idx="0">
                  <c:v>129.621488</c:v>
                </c:pt>
                <c:pt idx="1">
                  <c:v>129.621488</c:v>
                </c:pt>
                <c:pt idx="2">
                  <c:v>129.621488</c:v>
                </c:pt>
                <c:pt idx="3">
                  <c:v>129.621488</c:v>
                </c:pt>
                <c:pt idx="4">
                  <c:v>129.621488</c:v>
                </c:pt>
                <c:pt idx="5">
                  <c:v>129.621488</c:v>
                </c:pt>
                <c:pt idx="6">
                  <c:v>129.621488</c:v>
                </c:pt>
                <c:pt idx="7">
                  <c:v>129.621488</c:v>
                </c:pt>
                <c:pt idx="8">
                  <c:v>129.621488</c:v>
                </c:pt>
                <c:pt idx="9">
                  <c:v>129.621488</c:v>
                </c:pt>
                <c:pt idx="10">
                  <c:v>129.621488</c:v>
                </c:pt>
                <c:pt idx="11">
                  <c:v>124.10567999999999</c:v>
                </c:pt>
                <c:pt idx="12">
                  <c:v>112.38458800000001</c:v>
                </c:pt>
                <c:pt idx="13">
                  <c:v>86.1845</c:v>
                </c:pt>
                <c:pt idx="14">
                  <c:v>58.605460000000001</c:v>
                </c:pt>
                <c:pt idx="15">
                  <c:v>31.026419999999998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BF-44C0-AAA6-838A5A9D4219}"/>
            </c:ext>
          </c:extLst>
        </c:ser>
        <c:ser>
          <c:idx val="3"/>
          <c:order val="3"/>
          <c:tx>
            <c:strRef>
              <c:f>'SA-193 B7'!$AC$37</c:f>
              <c:strCache>
                <c:ptCount val="1"/>
                <c:pt idx="0">
                  <c:v>Punto de diseño (P, T, D)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349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'SA-193 B7'!$B$30</c:f>
              <c:numCache>
                <c:formatCode>0.0</c:formatCode>
                <c:ptCount val="1"/>
                <c:pt idx="0">
                  <c:v>200</c:v>
                </c:pt>
              </c:numCache>
            </c:numRef>
          </c:xVal>
          <c:yVal>
            <c:numRef>
              <c:f>'SA-193 B7'!$B$21</c:f>
              <c:numCache>
                <c:formatCode>0.0</c:formatCode>
                <c:ptCount val="1"/>
                <c:pt idx="0">
                  <c:v>172.369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BF-44C0-AAA6-838A5A9D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86172"/>
        <c:axId val="39341115"/>
      </c:scatterChart>
      <c:valAx>
        <c:axId val="97886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Temperatura de diseño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341115"/>
        <c:crosses val="autoZero"/>
        <c:crossBetween val="midCat"/>
      </c:valAx>
      <c:valAx>
        <c:axId val="393411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Tensión admisible 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788617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66675</xdr:rowOff>
    </xdr:from>
    <xdr:to>
      <xdr:col>18</xdr:col>
      <xdr:colOff>66675</xdr:colOff>
      <xdr:row>30</xdr:row>
      <xdr:rowOff>215640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130680</xdr:rowOff>
    </xdr:from>
    <xdr:to>
      <xdr:col>15</xdr:col>
      <xdr:colOff>140400</xdr:colOff>
      <xdr:row>30</xdr:row>
      <xdr:rowOff>215640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130680</xdr:rowOff>
    </xdr:from>
    <xdr:to>
      <xdr:col>15</xdr:col>
      <xdr:colOff>140400</xdr:colOff>
      <xdr:row>30</xdr:row>
      <xdr:rowOff>215640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130680</xdr:rowOff>
    </xdr:from>
    <xdr:to>
      <xdr:col>19</xdr:col>
      <xdr:colOff>500400</xdr:colOff>
      <xdr:row>32</xdr:row>
      <xdr:rowOff>32760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showGridLines="0" tabSelected="1" zoomScaleNormal="100" workbookViewId="0">
      <selection activeCell="G42" sqref="G42"/>
    </sheetView>
  </sheetViews>
  <sheetFormatPr baseColWidth="10" defaultColWidth="8.7109375" defaultRowHeight="15" x14ac:dyDescent="0.25"/>
  <cols>
    <col min="1" max="1" width="34" customWidth="1"/>
    <col min="2" max="2" width="22" customWidth="1"/>
    <col min="3" max="5" width="13" customWidth="1"/>
    <col min="6" max="17" width="9.5703125" customWidth="1"/>
  </cols>
  <sheetData>
    <row r="1" spans="1:2" x14ac:dyDescent="0.25">
      <c r="A1" s="2" t="s">
        <v>0</v>
      </c>
    </row>
    <row r="2" spans="1:2" ht="20.25" x14ac:dyDescent="0.3">
      <c r="A2" s="3" t="s">
        <v>1</v>
      </c>
    </row>
    <row r="3" spans="1:2" x14ac:dyDescent="0.25">
      <c r="A3" s="4" t="s">
        <v>2</v>
      </c>
    </row>
    <row r="5" spans="1:2" ht="18" customHeight="1" x14ac:dyDescent="0.25">
      <c r="A5" s="5" t="s">
        <v>3</v>
      </c>
      <c r="B5" s="6"/>
    </row>
    <row r="6" spans="1:2" x14ac:dyDescent="0.25">
      <c r="A6" s="7" t="s">
        <v>4</v>
      </c>
      <c r="B6" s="8" t="s">
        <v>5</v>
      </c>
    </row>
    <row r="7" spans="1:2" x14ac:dyDescent="0.25">
      <c r="A7" s="7" t="s">
        <v>6</v>
      </c>
      <c r="B7" s="8" t="s">
        <v>7</v>
      </c>
    </row>
    <row r="8" spans="1:2" x14ac:dyDescent="0.25">
      <c r="A8" s="7" t="s">
        <v>8</v>
      </c>
      <c r="B8" s="8" t="s">
        <v>9</v>
      </c>
    </row>
    <row r="9" spans="1:2" x14ac:dyDescent="0.25">
      <c r="A9" s="7" t="s">
        <v>10</v>
      </c>
      <c r="B9" s="8" t="s">
        <v>11</v>
      </c>
    </row>
    <row r="10" spans="1:2" x14ac:dyDescent="0.25">
      <c r="A10" s="7" t="s">
        <v>12</v>
      </c>
      <c r="B10" s="9">
        <v>483</v>
      </c>
    </row>
    <row r="11" spans="1:2" x14ac:dyDescent="0.25">
      <c r="A11" s="7" t="s">
        <v>13</v>
      </c>
      <c r="B11" s="10">
        <v>262</v>
      </c>
    </row>
    <row r="12" spans="1:2" x14ac:dyDescent="0.25">
      <c r="A12" s="7" t="s">
        <v>14</v>
      </c>
      <c r="B12" s="11">
        <v>538</v>
      </c>
    </row>
    <row r="13" spans="1:2" x14ac:dyDescent="0.25">
      <c r="A13" s="7" t="s">
        <v>15</v>
      </c>
      <c r="B13" s="8" t="s">
        <v>16</v>
      </c>
    </row>
    <row r="15" spans="1:2" ht="18" customHeight="1" x14ac:dyDescent="0.25">
      <c r="A15" s="5" t="s">
        <v>17</v>
      </c>
      <c r="B15" s="6"/>
    </row>
    <row r="16" spans="1:2" x14ac:dyDescent="0.25">
      <c r="A16" s="7" t="s">
        <v>18</v>
      </c>
      <c r="B16" s="12">
        <v>1.6</v>
      </c>
    </row>
    <row r="17" spans="1:4" x14ac:dyDescent="0.25">
      <c r="A17" s="7" t="s">
        <v>19</v>
      </c>
      <c r="B17" s="13">
        <v>150</v>
      </c>
    </row>
    <row r="19" spans="1:4" ht="18" customHeight="1" x14ac:dyDescent="0.25">
      <c r="A19" s="5" t="s">
        <v>20</v>
      </c>
      <c r="B19" s="6"/>
    </row>
    <row r="20" spans="1:4" x14ac:dyDescent="0.25">
      <c r="A20" s="7" t="s">
        <v>21</v>
      </c>
      <c r="B20" s="14">
        <f>B28</f>
        <v>123.41620399999998</v>
      </c>
    </row>
    <row r="21" spans="1:4" ht="27.75" customHeight="1" x14ac:dyDescent="0.25">
      <c r="A21" s="7" t="s">
        <v>22</v>
      </c>
      <c r="B21" s="15" t="str">
        <f>IF(B17&lt;B24,"⚠ Por debajo del rango tabulado",IF(B17&gt;B25,"⚠ Fuera de rango — no hay S tabulada por encima de "&amp;TEXT(B25,"0")&amp;" °C","OK — dentro de rango"))</f>
        <v>OK — dentro de rango</v>
      </c>
    </row>
    <row r="23" spans="1:4" ht="18" customHeight="1" x14ac:dyDescent="0.25">
      <c r="A23" s="5" t="s">
        <v>23</v>
      </c>
      <c r="B23" s="6"/>
    </row>
    <row r="24" spans="1:4" x14ac:dyDescent="0.25">
      <c r="A24" s="7" t="s">
        <v>24</v>
      </c>
      <c r="B24" s="16">
        <f>INDEX($C$32:$C$47,1)</f>
        <v>37.777777777777779</v>
      </c>
    </row>
    <row r="25" spans="1:4" x14ac:dyDescent="0.25">
      <c r="A25" s="7" t="s">
        <v>25</v>
      </c>
      <c r="B25" s="16">
        <f>INDEX($C$32:$C$47,16)</f>
        <v>537.77777777777783</v>
      </c>
    </row>
    <row r="26" spans="1:4" x14ac:dyDescent="0.25">
      <c r="A26" s="7" t="s">
        <v>26</v>
      </c>
      <c r="B26" s="16">
        <f>MIN(MAX(B17,B24),B25)</f>
        <v>150</v>
      </c>
    </row>
    <row r="27" spans="1:4" x14ac:dyDescent="0.25">
      <c r="A27" s="7" t="s">
        <v>27</v>
      </c>
      <c r="B27" s="17">
        <f>MIN(MATCH(B26,$C$32:$C$47,1),16-1)</f>
        <v>5</v>
      </c>
    </row>
    <row r="28" spans="1:4" x14ac:dyDescent="0.25">
      <c r="A28" s="7" t="s">
        <v>28</v>
      </c>
      <c r="B28" s="16">
        <f>INDEX($D$32:$D$47,B27)+(B26-INDEX($C$32:$C$47,B27))/(INDEX($C$32:$C$47,B27+1)-INDEX($C$32:$C$47,B27))*(INDEX($D$32:$D$47,B27+1)-INDEX($D$32:$D$47,B27))</f>
        <v>123.41620399999998</v>
      </c>
    </row>
    <row r="30" spans="1:4" x14ac:dyDescent="0.25">
      <c r="A30" s="18" t="s">
        <v>29</v>
      </c>
    </row>
    <row r="31" spans="1:4" ht="25.5" customHeight="1" x14ac:dyDescent="0.25">
      <c r="A31" s="19" t="s">
        <v>30</v>
      </c>
      <c r="B31" s="19" t="s">
        <v>31</v>
      </c>
      <c r="C31" s="19" t="s">
        <v>32</v>
      </c>
      <c r="D31" s="19" t="s">
        <v>33</v>
      </c>
    </row>
    <row r="32" spans="1:4" x14ac:dyDescent="0.25">
      <c r="A32" s="20">
        <v>100</v>
      </c>
      <c r="B32" s="21">
        <v>17.899999999999999</v>
      </c>
      <c r="C32" s="21">
        <f t="shared" ref="C32:C47" si="0">(A32-32)*5/9</f>
        <v>37.777777777777779</v>
      </c>
      <c r="D32" s="21">
        <f t="shared" ref="D32:D47" si="1">B32*6.89476</f>
        <v>123.41620399999998</v>
      </c>
    </row>
    <row r="33" spans="1:4" x14ac:dyDescent="0.25">
      <c r="A33" s="20">
        <v>150</v>
      </c>
      <c r="B33" s="21">
        <v>17.899999999999999</v>
      </c>
      <c r="C33" s="21">
        <f t="shared" si="0"/>
        <v>65.555555555555557</v>
      </c>
      <c r="D33" s="21">
        <f t="shared" si="1"/>
        <v>123.41620399999998</v>
      </c>
    </row>
    <row r="34" spans="1:4" x14ac:dyDescent="0.25">
      <c r="A34" s="20">
        <v>200</v>
      </c>
      <c r="B34" s="21">
        <v>17.899999999999999</v>
      </c>
      <c r="C34" s="21">
        <f t="shared" si="0"/>
        <v>93.333333333333329</v>
      </c>
      <c r="D34" s="21">
        <f t="shared" si="1"/>
        <v>123.41620399999998</v>
      </c>
    </row>
    <row r="35" spans="1:4" x14ac:dyDescent="0.25">
      <c r="A35" s="20">
        <v>250</v>
      </c>
      <c r="B35" s="21">
        <v>17.899999999999999</v>
      </c>
      <c r="C35" s="21">
        <f t="shared" si="0"/>
        <v>121.11111111111111</v>
      </c>
      <c r="D35" s="21">
        <f t="shared" si="1"/>
        <v>123.41620399999998</v>
      </c>
    </row>
    <row r="36" spans="1:4" x14ac:dyDescent="0.25">
      <c r="A36" s="20">
        <v>300</v>
      </c>
      <c r="B36" s="21">
        <v>17.899999999999999</v>
      </c>
      <c r="C36" s="21">
        <f t="shared" si="0"/>
        <v>148.88888888888889</v>
      </c>
      <c r="D36" s="21">
        <f t="shared" si="1"/>
        <v>123.41620399999998</v>
      </c>
    </row>
    <row r="37" spans="1:4" x14ac:dyDescent="0.25">
      <c r="A37" s="20">
        <v>400</v>
      </c>
      <c r="B37" s="21">
        <v>17.899999999999999</v>
      </c>
      <c r="C37" s="21">
        <f t="shared" si="0"/>
        <v>204.44444444444446</v>
      </c>
      <c r="D37" s="21">
        <f t="shared" si="1"/>
        <v>123.41620399999998</v>
      </c>
    </row>
    <row r="38" spans="1:4" x14ac:dyDescent="0.25">
      <c r="A38" s="20">
        <v>500</v>
      </c>
      <c r="B38" s="21">
        <v>17.899999999999999</v>
      </c>
      <c r="C38" s="21">
        <f t="shared" si="0"/>
        <v>260</v>
      </c>
      <c r="D38" s="21">
        <f t="shared" si="1"/>
        <v>123.41620399999998</v>
      </c>
    </row>
    <row r="39" spans="1:4" x14ac:dyDescent="0.25">
      <c r="A39" s="20">
        <v>600</v>
      </c>
      <c r="B39" s="21">
        <v>17.899999999999999</v>
      </c>
      <c r="C39" s="21">
        <f t="shared" si="0"/>
        <v>315.55555555555554</v>
      </c>
      <c r="D39" s="21">
        <f t="shared" si="1"/>
        <v>123.41620399999998</v>
      </c>
    </row>
    <row r="40" spans="1:4" x14ac:dyDescent="0.25">
      <c r="A40" s="20">
        <v>650</v>
      </c>
      <c r="B40" s="21">
        <v>17.899999999999999</v>
      </c>
      <c r="C40" s="21">
        <f t="shared" si="0"/>
        <v>343.33333333333331</v>
      </c>
      <c r="D40" s="21">
        <f t="shared" si="1"/>
        <v>123.41620399999998</v>
      </c>
    </row>
    <row r="41" spans="1:4" x14ac:dyDescent="0.25">
      <c r="A41" s="20">
        <v>700</v>
      </c>
      <c r="B41" s="21">
        <v>16.899999999999999</v>
      </c>
      <c r="C41" s="21">
        <f t="shared" si="0"/>
        <v>371.11111111111109</v>
      </c>
      <c r="D41" s="21">
        <f t="shared" si="1"/>
        <v>116.52144399999999</v>
      </c>
    </row>
    <row r="42" spans="1:4" x14ac:dyDescent="0.25">
      <c r="A42" s="20">
        <v>750</v>
      </c>
      <c r="B42" s="21">
        <v>13.9</v>
      </c>
      <c r="C42" s="21">
        <f t="shared" si="0"/>
        <v>398.88888888888891</v>
      </c>
      <c r="D42" s="21">
        <f t="shared" si="1"/>
        <v>95.837164000000001</v>
      </c>
    </row>
    <row r="43" spans="1:4" x14ac:dyDescent="0.25">
      <c r="A43" s="20">
        <v>800</v>
      </c>
      <c r="B43" s="21">
        <v>11.4</v>
      </c>
      <c r="C43" s="21">
        <f t="shared" si="0"/>
        <v>426.66666666666669</v>
      </c>
      <c r="D43" s="21">
        <f t="shared" si="1"/>
        <v>78.600263999999996</v>
      </c>
    </row>
    <row r="44" spans="1:4" x14ac:dyDescent="0.25">
      <c r="A44" s="20">
        <v>850</v>
      </c>
      <c r="B44" s="21">
        <v>8.6999999999999993</v>
      </c>
      <c r="C44" s="21">
        <f t="shared" si="0"/>
        <v>454.44444444444446</v>
      </c>
      <c r="D44" s="21">
        <f t="shared" si="1"/>
        <v>59.984411999999992</v>
      </c>
    </row>
    <row r="45" spans="1:4" x14ac:dyDescent="0.25">
      <c r="A45" s="20">
        <v>900</v>
      </c>
      <c r="B45" s="21">
        <v>5.9</v>
      </c>
      <c r="C45" s="21">
        <f t="shared" si="0"/>
        <v>482.22222222222223</v>
      </c>
      <c r="D45" s="21">
        <f t="shared" si="1"/>
        <v>40.679084000000003</v>
      </c>
    </row>
    <row r="46" spans="1:4" x14ac:dyDescent="0.25">
      <c r="A46" s="20">
        <v>950</v>
      </c>
      <c r="B46" s="21">
        <v>4</v>
      </c>
      <c r="C46" s="21">
        <f t="shared" si="0"/>
        <v>510</v>
      </c>
      <c r="D46" s="21">
        <f t="shared" si="1"/>
        <v>27.579039999999999</v>
      </c>
    </row>
    <row r="47" spans="1:4" x14ac:dyDescent="0.25">
      <c r="A47" s="20">
        <v>1000</v>
      </c>
      <c r="B47" s="21">
        <v>2.5</v>
      </c>
      <c r="C47" s="21">
        <f t="shared" si="0"/>
        <v>537.77777777777783</v>
      </c>
      <c r="D47" s="21">
        <f t="shared" si="1"/>
        <v>17.236899999999999</v>
      </c>
    </row>
    <row r="49" spans="1:4" ht="13.5" customHeight="1" x14ac:dyDescent="0.25">
      <c r="A49" s="1" t="s">
        <v>34</v>
      </c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</sheetData>
  <mergeCells count="1">
    <mergeCell ref="A49:D5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2" width="22" customWidth="1"/>
    <col min="3" max="5" width="13" customWidth="1"/>
    <col min="6" max="17" width="9.5703125" customWidth="1"/>
  </cols>
  <sheetData>
    <row r="1" spans="1:2" x14ac:dyDescent="0.25">
      <c r="A1" s="2" t="s">
        <v>0</v>
      </c>
    </row>
    <row r="2" spans="1:2" ht="20.25" x14ac:dyDescent="0.3">
      <c r="A2" s="3" t="s">
        <v>35</v>
      </c>
    </row>
    <row r="3" spans="1:2" x14ac:dyDescent="0.25">
      <c r="A3" s="4" t="s">
        <v>36</v>
      </c>
    </row>
    <row r="5" spans="1:2" ht="18" customHeight="1" x14ac:dyDescent="0.25">
      <c r="A5" s="5" t="s">
        <v>3</v>
      </c>
      <c r="B5" s="6"/>
    </row>
    <row r="6" spans="1:2" x14ac:dyDescent="0.25">
      <c r="A6" s="7" t="s">
        <v>4</v>
      </c>
      <c r="B6" s="8" t="s">
        <v>37</v>
      </c>
    </row>
    <row r="7" spans="1:2" x14ac:dyDescent="0.25">
      <c r="A7" s="7" t="s">
        <v>6</v>
      </c>
      <c r="B7" s="8" t="s">
        <v>38</v>
      </c>
    </row>
    <row r="8" spans="1:2" x14ac:dyDescent="0.25">
      <c r="A8" s="7" t="s">
        <v>8</v>
      </c>
      <c r="B8" s="8" t="s">
        <v>39</v>
      </c>
    </row>
    <row r="9" spans="1:2" x14ac:dyDescent="0.25">
      <c r="A9" s="7" t="s">
        <v>10</v>
      </c>
      <c r="B9" s="8" t="s">
        <v>11</v>
      </c>
    </row>
    <row r="10" spans="1:2" x14ac:dyDescent="0.25">
      <c r="A10" s="7" t="s">
        <v>12</v>
      </c>
      <c r="B10" s="9">
        <v>483</v>
      </c>
    </row>
    <row r="11" spans="1:2" x14ac:dyDescent="0.25">
      <c r="A11" s="7" t="s">
        <v>13</v>
      </c>
      <c r="B11" s="22">
        <v>248</v>
      </c>
    </row>
    <row r="12" spans="1:2" x14ac:dyDescent="0.25">
      <c r="A12" s="7" t="s">
        <v>40</v>
      </c>
      <c r="B12" s="23">
        <v>343</v>
      </c>
    </row>
    <row r="13" spans="1:2" x14ac:dyDescent="0.25">
      <c r="A13" s="7" t="s">
        <v>15</v>
      </c>
      <c r="B13" s="8" t="s">
        <v>16</v>
      </c>
    </row>
    <row r="15" spans="1:2" ht="18" customHeight="1" x14ac:dyDescent="0.25">
      <c r="A15" s="5" t="s">
        <v>17</v>
      </c>
      <c r="B15" s="6"/>
    </row>
    <row r="16" spans="1:2" x14ac:dyDescent="0.25">
      <c r="A16" s="7" t="s">
        <v>18</v>
      </c>
      <c r="B16" s="12">
        <v>1</v>
      </c>
    </row>
    <row r="17" spans="1:4" x14ac:dyDescent="0.25">
      <c r="A17" s="7" t="s">
        <v>19</v>
      </c>
      <c r="B17" s="13">
        <v>120</v>
      </c>
    </row>
    <row r="19" spans="1:4" ht="18" customHeight="1" x14ac:dyDescent="0.25">
      <c r="A19" s="5" t="s">
        <v>20</v>
      </c>
      <c r="B19" s="6"/>
    </row>
    <row r="20" spans="1:4" x14ac:dyDescent="0.25">
      <c r="A20" s="7" t="s">
        <v>21</v>
      </c>
      <c r="B20" s="14">
        <f>B28</f>
        <v>117.900396</v>
      </c>
    </row>
    <row r="21" spans="1:4" ht="27.75" customHeight="1" x14ac:dyDescent="0.25">
      <c r="A21" s="7" t="s">
        <v>22</v>
      </c>
      <c r="B21" s="15" t="str">
        <f>IF(B17&lt;B24,"⚠ Por debajo del rango tabulado",IF(B17&gt;B25,"⚠ Fuera de rango — no hay S tabulada por encima de "&amp;TEXT(B25,"0")&amp;" °C","OK — dentro de rango"))</f>
        <v>OK — dentro de rango</v>
      </c>
    </row>
    <row r="23" spans="1:4" ht="18" customHeight="1" x14ac:dyDescent="0.25">
      <c r="A23" s="5" t="s">
        <v>23</v>
      </c>
      <c r="B23" s="6"/>
    </row>
    <row r="24" spans="1:4" x14ac:dyDescent="0.25">
      <c r="A24" s="7" t="s">
        <v>24</v>
      </c>
      <c r="B24" s="16">
        <f>INDEX($C$32:$C$40,1)</f>
        <v>37.777777777777779</v>
      </c>
    </row>
    <row r="25" spans="1:4" x14ac:dyDescent="0.25">
      <c r="A25" s="7" t="s">
        <v>25</v>
      </c>
      <c r="B25" s="16">
        <f>INDEX($C$32:$C$40,9)</f>
        <v>343.33333333333331</v>
      </c>
    </row>
    <row r="26" spans="1:4" x14ac:dyDescent="0.25">
      <c r="A26" s="7" t="s">
        <v>26</v>
      </c>
      <c r="B26" s="16">
        <f>MIN(MAX(B17,B24),B25)</f>
        <v>120</v>
      </c>
    </row>
    <row r="27" spans="1:4" x14ac:dyDescent="0.25">
      <c r="A27" s="7" t="s">
        <v>27</v>
      </c>
      <c r="B27" s="17">
        <f>MIN(MATCH(B26,$C$32:$C$40,1),9-1)</f>
        <v>3</v>
      </c>
    </row>
    <row r="28" spans="1:4" x14ac:dyDescent="0.25">
      <c r="A28" s="7" t="s">
        <v>28</v>
      </c>
      <c r="B28" s="16">
        <f>INDEX($D$32:$D$40,B27)+(B26-INDEX($C$32:$C$40,B27))/(INDEX($C$32:$C$40,B27+1)-INDEX($C$32:$C$40,B27))*(INDEX($D$32:$D$40,B27+1)-INDEX($D$32:$D$40,B27))</f>
        <v>117.900396</v>
      </c>
    </row>
    <row r="30" spans="1:4" x14ac:dyDescent="0.25">
      <c r="A30" s="18" t="s">
        <v>41</v>
      </c>
    </row>
    <row r="31" spans="1:4" ht="25.5" customHeight="1" x14ac:dyDescent="0.25">
      <c r="A31" s="19" t="s">
        <v>30</v>
      </c>
      <c r="B31" s="19" t="s">
        <v>31</v>
      </c>
      <c r="C31" s="19" t="s">
        <v>32</v>
      </c>
      <c r="D31" s="19" t="s">
        <v>33</v>
      </c>
    </row>
    <row r="32" spans="1:4" x14ac:dyDescent="0.25">
      <c r="A32" s="20">
        <v>100</v>
      </c>
      <c r="B32" s="21">
        <v>17.100000000000001</v>
      </c>
      <c r="C32" s="21">
        <f t="shared" ref="C32:C40" si="0">(A32-32)*5/9</f>
        <v>37.777777777777779</v>
      </c>
      <c r="D32" s="21">
        <f t="shared" ref="D32:D40" si="1">B32*6.89476</f>
        <v>117.900396</v>
      </c>
    </row>
    <row r="33" spans="1:4" x14ac:dyDescent="0.25">
      <c r="A33" s="20">
        <v>150</v>
      </c>
      <c r="B33" s="21">
        <v>17.100000000000001</v>
      </c>
      <c r="C33" s="21">
        <f t="shared" si="0"/>
        <v>65.555555555555557</v>
      </c>
      <c r="D33" s="21">
        <f t="shared" si="1"/>
        <v>117.900396</v>
      </c>
    </row>
    <row r="34" spans="1:4" x14ac:dyDescent="0.25">
      <c r="A34" s="20">
        <v>200</v>
      </c>
      <c r="B34" s="21">
        <v>17.100000000000001</v>
      </c>
      <c r="C34" s="21">
        <f t="shared" si="0"/>
        <v>93.333333333333329</v>
      </c>
      <c r="D34" s="21">
        <f t="shared" si="1"/>
        <v>117.900396</v>
      </c>
    </row>
    <row r="35" spans="1:4" x14ac:dyDescent="0.25">
      <c r="A35" s="20">
        <v>250</v>
      </c>
      <c r="B35" s="21">
        <v>17.100000000000001</v>
      </c>
      <c r="C35" s="21">
        <f t="shared" si="0"/>
        <v>121.11111111111111</v>
      </c>
      <c r="D35" s="21">
        <f t="shared" si="1"/>
        <v>117.900396</v>
      </c>
    </row>
    <row r="36" spans="1:4" x14ac:dyDescent="0.25">
      <c r="A36" s="20">
        <v>300</v>
      </c>
      <c r="B36" s="21">
        <v>17.100000000000001</v>
      </c>
      <c r="C36" s="21">
        <f t="shared" si="0"/>
        <v>148.88888888888889</v>
      </c>
      <c r="D36" s="21">
        <f t="shared" si="1"/>
        <v>117.900396</v>
      </c>
    </row>
    <row r="37" spans="1:4" x14ac:dyDescent="0.25">
      <c r="A37" s="20">
        <v>400</v>
      </c>
      <c r="B37" s="21">
        <v>17.100000000000001</v>
      </c>
      <c r="C37" s="21">
        <f t="shared" si="0"/>
        <v>204.44444444444446</v>
      </c>
      <c r="D37" s="21">
        <f t="shared" si="1"/>
        <v>117.900396</v>
      </c>
    </row>
    <row r="38" spans="1:4" x14ac:dyDescent="0.25">
      <c r="A38" s="20">
        <v>500</v>
      </c>
      <c r="B38" s="21">
        <v>17.100000000000001</v>
      </c>
      <c r="C38" s="21">
        <f t="shared" si="0"/>
        <v>260</v>
      </c>
      <c r="D38" s="21">
        <f t="shared" si="1"/>
        <v>117.900396</v>
      </c>
    </row>
    <row r="39" spans="1:4" x14ac:dyDescent="0.25">
      <c r="A39" s="20">
        <v>600</v>
      </c>
      <c r="B39" s="21">
        <v>17.100000000000001</v>
      </c>
      <c r="C39" s="21">
        <f t="shared" si="0"/>
        <v>315.55555555555554</v>
      </c>
      <c r="D39" s="21">
        <f t="shared" si="1"/>
        <v>117.900396</v>
      </c>
    </row>
    <row r="40" spans="1:4" x14ac:dyDescent="0.25">
      <c r="A40" s="20">
        <v>650</v>
      </c>
      <c r="B40" s="21">
        <v>17.100000000000001</v>
      </c>
      <c r="C40" s="21">
        <f t="shared" si="0"/>
        <v>343.33333333333331</v>
      </c>
      <c r="D40" s="21">
        <f t="shared" si="1"/>
        <v>117.900396</v>
      </c>
    </row>
    <row r="42" spans="1:4" ht="13.5" customHeight="1" x14ac:dyDescent="0.25">
      <c r="A42" s="1" t="s">
        <v>42</v>
      </c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</sheetData>
  <mergeCells count="1">
    <mergeCell ref="A42:D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2" width="22" customWidth="1"/>
    <col min="3" max="5" width="13" customWidth="1"/>
    <col min="6" max="17" width="9.5703125" customWidth="1"/>
  </cols>
  <sheetData>
    <row r="1" spans="1:2" x14ac:dyDescent="0.25">
      <c r="A1" s="2" t="s">
        <v>0</v>
      </c>
    </row>
    <row r="2" spans="1:2" ht="20.25" x14ac:dyDescent="0.3">
      <c r="A2" s="3" t="s">
        <v>43</v>
      </c>
    </row>
    <row r="3" spans="1:2" x14ac:dyDescent="0.25">
      <c r="A3" s="4" t="s">
        <v>44</v>
      </c>
    </row>
    <row r="5" spans="1:2" ht="18" customHeight="1" x14ac:dyDescent="0.25">
      <c r="A5" s="5" t="s">
        <v>3</v>
      </c>
      <c r="B5" s="6"/>
    </row>
    <row r="6" spans="1:2" x14ac:dyDescent="0.25">
      <c r="A6" s="7" t="s">
        <v>4</v>
      </c>
      <c r="B6" s="8" t="s">
        <v>43</v>
      </c>
    </row>
    <row r="7" spans="1:2" x14ac:dyDescent="0.25">
      <c r="A7" s="7" t="s">
        <v>6</v>
      </c>
      <c r="B7" s="8" t="s">
        <v>45</v>
      </c>
    </row>
    <row r="8" spans="1:2" x14ac:dyDescent="0.25">
      <c r="A8" s="7" t="s">
        <v>8</v>
      </c>
      <c r="B8" s="8" t="s">
        <v>46</v>
      </c>
    </row>
    <row r="9" spans="1:2" x14ac:dyDescent="0.25">
      <c r="A9" s="7" t="s">
        <v>10</v>
      </c>
      <c r="B9" s="8" t="s">
        <v>47</v>
      </c>
    </row>
    <row r="10" spans="1:2" x14ac:dyDescent="0.25">
      <c r="A10" s="7" t="s">
        <v>12</v>
      </c>
      <c r="B10" s="24">
        <v>414</v>
      </c>
    </row>
    <row r="11" spans="1:2" x14ac:dyDescent="0.25">
      <c r="A11" s="7" t="s">
        <v>13</v>
      </c>
      <c r="B11" s="25">
        <v>241</v>
      </c>
    </row>
    <row r="12" spans="1:2" x14ac:dyDescent="0.25">
      <c r="A12" s="7" t="s">
        <v>40</v>
      </c>
      <c r="B12" s="26">
        <v>482</v>
      </c>
    </row>
    <row r="13" spans="1:2" x14ac:dyDescent="0.25">
      <c r="A13" s="7" t="s">
        <v>15</v>
      </c>
      <c r="B13" s="8" t="s">
        <v>16</v>
      </c>
    </row>
    <row r="15" spans="1:2" ht="18" customHeight="1" x14ac:dyDescent="0.25">
      <c r="A15" s="5" t="s">
        <v>17</v>
      </c>
      <c r="B15" s="6"/>
    </row>
    <row r="16" spans="1:2" x14ac:dyDescent="0.25">
      <c r="A16" s="7" t="s">
        <v>18</v>
      </c>
      <c r="B16" s="12">
        <v>1.2</v>
      </c>
    </row>
    <row r="17" spans="1:4" x14ac:dyDescent="0.25">
      <c r="A17" s="7" t="s">
        <v>19</v>
      </c>
      <c r="B17" s="13">
        <v>200</v>
      </c>
    </row>
    <row r="19" spans="1:4" ht="18" customHeight="1" x14ac:dyDescent="0.25">
      <c r="A19" s="5" t="s">
        <v>20</v>
      </c>
      <c r="B19" s="6"/>
    </row>
    <row r="20" spans="1:4" x14ac:dyDescent="0.25">
      <c r="A20" s="7" t="s">
        <v>21</v>
      </c>
      <c r="B20" s="14">
        <f>B28</f>
        <v>108.24773199999998</v>
      </c>
    </row>
    <row r="21" spans="1:4" ht="27.75" customHeight="1" x14ac:dyDescent="0.25">
      <c r="A21" s="7" t="s">
        <v>22</v>
      </c>
      <c r="B21" s="15" t="str">
        <f>IF(B17&lt;B24,"⚠ Por debajo del rango tabulado",IF(B17&gt;B25,"⚠ Fuera de rango — no hay S tabulada por encima de "&amp;TEXT(B25,"0")&amp;" °C","OK — dentro de rango"))</f>
        <v>OK — dentro de rango</v>
      </c>
    </row>
    <row r="23" spans="1:4" ht="18" customHeight="1" x14ac:dyDescent="0.25">
      <c r="A23" s="5" t="s">
        <v>23</v>
      </c>
      <c r="B23" s="6"/>
    </row>
    <row r="24" spans="1:4" x14ac:dyDescent="0.25">
      <c r="A24" s="7" t="s">
        <v>24</v>
      </c>
      <c r="B24" s="16">
        <f>INDEX($C$32:$C$44,1)</f>
        <v>37.777777777777779</v>
      </c>
    </row>
    <row r="25" spans="1:4" x14ac:dyDescent="0.25">
      <c r="A25" s="7" t="s">
        <v>25</v>
      </c>
      <c r="B25" s="16">
        <f>INDEX($C$32:$C$44,13)</f>
        <v>482.22222222222223</v>
      </c>
    </row>
    <row r="26" spans="1:4" x14ac:dyDescent="0.25">
      <c r="A26" s="7" t="s">
        <v>26</v>
      </c>
      <c r="B26" s="16">
        <f>MIN(MAX(B17,B24),B25)</f>
        <v>200</v>
      </c>
    </row>
    <row r="27" spans="1:4" x14ac:dyDescent="0.25">
      <c r="A27" s="7" t="s">
        <v>27</v>
      </c>
      <c r="B27" s="17">
        <f>MIN(MATCH(B26,$C$32:$C$44,1),13-1)</f>
        <v>4</v>
      </c>
    </row>
    <row r="28" spans="1:4" x14ac:dyDescent="0.25">
      <c r="A28" s="7" t="s">
        <v>28</v>
      </c>
      <c r="B28" s="16">
        <f>INDEX($D$32:$D$44,B27)+(B26-INDEX($C$32:$C$44,B27))/(INDEX($C$32:$C$44,B27+1)-INDEX($C$32:$C$44,B27))*(INDEX($D$32:$D$44,B27+1)-INDEX($D$32:$D$44,B27))</f>
        <v>108.24773199999998</v>
      </c>
    </row>
    <row r="30" spans="1:4" x14ac:dyDescent="0.25">
      <c r="A30" s="18" t="s">
        <v>48</v>
      </c>
    </row>
    <row r="31" spans="1:4" ht="25.5" customHeight="1" x14ac:dyDescent="0.25">
      <c r="A31" s="19" t="s">
        <v>30</v>
      </c>
      <c r="B31" s="19" t="s">
        <v>31</v>
      </c>
      <c r="C31" s="19" t="s">
        <v>32</v>
      </c>
      <c r="D31" s="19" t="s">
        <v>33</v>
      </c>
    </row>
    <row r="32" spans="1:4" x14ac:dyDescent="0.25">
      <c r="A32" s="20">
        <v>100</v>
      </c>
      <c r="B32" s="21">
        <v>15.7</v>
      </c>
      <c r="C32" s="21">
        <f t="shared" ref="C32:C44" si="0">(A32-32)*5/9</f>
        <v>37.777777777777779</v>
      </c>
      <c r="D32" s="21">
        <f t="shared" ref="D32:D44" si="1">B32*6.89476</f>
        <v>108.24773199999998</v>
      </c>
    </row>
    <row r="33" spans="1:4" x14ac:dyDescent="0.25">
      <c r="A33" s="20">
        <v>150</v>
      </c>
      <c r="B33" s="21">
        <v>15.7</v>
      </c>
      <c r="C33" s="21">
        <f t="shared" si="0"/>
        <v>65.555555555555557</v>
      </c>
      <c r="D33" s="21">
        <f t="shared" si="1"/>
        <v>108.24773199999998</v>
      </c>
    </row>
    <row r="34" spans="1:4" x14ac:dyDescent="0.25">
      <c r="A34" s="20">
        <v>200</v>
      </c>
      <c r="B34" s="21">
        <v>15.7</v>
      </c>
      <c r="C34" s="21">
        <f t="shared" si="0"/>
        <v>93.333333333333329</v>
      </c>
      <c r="D34" s="21">
        <f t="shared" si="1"/>
        <v>108.24773199999998</v>
      </c>
    </row>
    <row r="35" spans="1:4" x14ac:dyDescent="0.25">
      <c r="A35" s="20">
        <v>300</v>
      </c>
      <c r="B35" s="21">
        <v>15.7</v>
      </c>
      <c r="C35" s="21">
        <f t="shared" si="0"/>
        <v>148.88888888888889</v>
      </c>
      <c r="D35" s="21">
        <f t="shared" si="1"/>
        <v>108.24773199999998</v>
      </c>
    </row>
    <row r="36" spans="1:4" x14ac:dyDescent="0.25">
      <c r="A36" s="20">
        <v>400</v>
      </c>
      <c r="B36" s="21">
        <v>15.7</v>
      </c>
      <c r="C36" s="21">
        <f t="shared" si="0"/>
        <v>204.44444444444446</v>
      </c>
      <c r="D36" s="21">
        <f t="shared" si="1"/>
        <v>108.24773199999998</v>
      </c>
    </row>
    <row r="37" spans="1:4" x14ac:dyDescent="0.25">
      <c r="A37" s="20">
        <v>500</v>
      </c>
      <c r="B37" s="21">
        <v>15.7</v>
      </c>
      <c r="C37" s="21">
        <f t="shared" si="0"/>
        <v>260</v>
      </c>
      <c r="D37" s="21">
        <f t="shared" si="1"/>
        <v>108.24773199999998</v>
      </c>
    </row>
    <row r="38" spans="1:4" x14ac:dyDescent="0.25">
      <c r="A38" s="20">
        <v>600</v>
      </c>
      <c r="B38" s="21">
        <v>15.7</v>
      </c>
      <c r="C38" s="21">
        <f t="shared" si="0"/>
        <v>315.55555555555554</v>
      </c>
      <c r="D38" s="21">
        <f t="shared" si="1"/>
        <v>108.24773199999998</v>
      </c>
    </row>
    <row r="39" spans="1:4" x14ac:dyDescent="0.25">
      <c r="A39" s="20">
        <v>650</v>
      </c>
      <c r="B39" s="21">
        <v>15.7</v>
      </c>
      <c r="C39" s="21">
        <f t="shared" si="0"/>
        <v>343.33333333333331</v>
      </c>
      <c r="D39" s="21">
        <f t="shared" si="1"/>
        <v>108.24773199999998</v>
      </c>
    </row>
    <row r="40" spans="1:4" x14ac:dyDescent="0.25">
      <c r="A40" s="20">
        <v>700</v>
      </c>
      <c r="B40" s="21">
        <v>15.6</v>
      </c>
      <c r="C40" s="21">
        <f t="shared" si="0"/>
        <v>371.11111111111109</v>
      </c>
      <c r="D40" s="21">
        <f t="shared" si="1"/>
        <v>107.558256</v>
      </c>
    </row>
    <row r="41" spans="1:4" x14ac:dyDescent="0.25">
      <c r="A41" s="20">
        <v>750</v>
      </c>
      <c r="B41" s="21">
        <v>13</v>
      </c>
      <c r="C41" s="21">
        <f t="shared" si="0"/>
        <v>398.88888888888891</v>
      </c>
      <c r="D41" s="21">
        <f t="shared" si="1"/>
        <v>89.631879999999995</v>
      </c>
    </row>
    <row r="42" spans="1:4" x14ac:dyDescent="0.25">
      <c r="A42" s="20">
        <v>800</v>
      </c>
      <c r="B42" s="21">
        <v>10.8</v>
      </c>
      <c r="C42" s="21">
        <f t="shared" si="0"/>
        <v>426.66666666666669</v>
      </c>
      <c r="D42" s="21">
        <f t="shared" si="1"/>
        <v>74.463408000000001</v>
      </c>
    </row>
    <row r="43" spans="1:4" x14ac:dyDescent="0.25">
      <c r="A43" s="20">
        <v>850</v>
      </c>
      <c r="B43" s="21">
        <v>8.6999999999999993</v>
      </c>
      <c r="C43" s="21">
        <f t="shared" si="0"/>
        <v>454.44444444444446</v>
      </c>
      <c r="D43" s="21">
        <f t="shared" si="1"/>
        <v>59.984411999999992</v>
      </c>
    </row>
    <row r="44" spans="1:4" x14ac:dyDescent="0.25">
      <c r="A44" s="20">
        <v>900</v>
      </c>
      <c r="B44" s="21">
        <v>5.9</v>
      </c>
      <c r="C44" s="21">
        <f t="shared" si="0"/>
        <v>482.22222222222223</v>
      </c>
      <c r="D44" s="21">
        <f t="shared" si="1"/>
        <v>40.679084000000003</v>
      </c>
    </row>
    <row r="46" spans="1:4" ht="13.5" customHeight="1" x14ac:dyDescent="0.25">
      <c r="A46" s="1" t="s">
        <v>49</v>
      </c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</sheetData>
  <mergeCells count="1">
    <mergeCell ref="A46:D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9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2" width="22" customWidth="1"/>
    <col min="3" max="8" width="11" customWidth="1"/>
    <col min="9" max="9" width="3" customWidth="1"/>
    <col min="10" max="23" width="9.5703125" customWidth="1"/>
  </cols>
  <sheetData>
    <row r="1" spans="1:2" x14ac:dyDescent="0.25">
      <c r="A1" s="2" t="s">
        <v>50</v>
      </c>
    </row>
    <row r="2" spans="1:2" ht="20.25" x14ac:dyDescent="0.3">
      <c r="A2" s="3" t="s">
        <v>51</v>
      </c>
    </row>
    <row r="3" spans="1:2" x14ac:dyDescent="0.25">
      <c r="A3" s="4" t="s">
        <v>52</v>
      </c>
    </row>
    <row r="5" spans="1:2" ht="18" customHeight="1" x14ac:dyDescent="0.25">
      <c r="A5" s="5" t="s">
        <v>3</v>
      </c>
      <c r="B5" s="6"/>
    </row>
    <row r="6" spans="1:2" x14ac:dyDescent="0.25">
      <c r="A6" s="7" t="s">
        <v>4</v>
      </c>
      <c r="B6" s="8" t="s">
        <v>51</v>
      </c>
    </row>
    <row r="7" spans="1:2" x14ac:dyDescent="0.25">
      <c r="A7" s="7" t="s">
        <v>6</v>
      </c>
      <c r="B7" s="8" t="s">
        <v>53</v>
      </c>
    </row>
    <row r="8" spans="1:2" x14ac:dyDescent="0.25">
      <c r="A8" s="7" t="s">
        <v>8</v>
      </c>
      <c r="B8" s="8" t="s">
        <v>54</v>
      </c>
    </row>
    <row r="9" spans="1:2" x14ac:dyDescent="0.25">
      <c r="A9" s="7" t="s">
        <v>55</v>
      </c>
      <c r="B9" s="8" t="s">
        <v>56</v>
      </c>
    </row>
    <row r="10" spans="1:2" x14ac:dyDescent="0.25">
      <c r="A10" s="7" t="s">
        <v>57</v>
      </c>
      <c r="B10" s="8" t="s">
        <v>58</v>
      </c>
    </row>
    <row r="11" spans="1:2" x14ac:dyDescent="0.25">
      <c r="A11" s="7" t="s">
        <v>59</v>
      </c>
      <c r="B11" s="8" t="s">
        <v>60</v>
      </c>
    </row>
    <row r="12" spans="1:2" x14ac:dyDescent="0.25">
      <c r="A12" s="7" t="s">
        <v>61</v>
      </c>
      <c r="B12" s="11">
        <v>538</v>
      </c>
    </row>
    <row r="13" spans="1:2" x14ac:dyDescent="0.25">
      <c r="A13" s="7" t="s">
        <v>15</v>
      </c>
      <c r="B13" s="8" t="s">
        <v>62</v>
      </c>
    </row>
    <row r="15" spans="1:2" ht="18" customHeight="1" x14ac:dyDescent="0.25">
      <c r="A15" s="5" t="s">
        <v>17</v>
      </c>
      <c r="B15" s="6"/>
    </row>
    <row r="16" spans="1:2" x14ac:dyDescent="0.25">
      <c r="A16" s="7" t="s">
        <v>18</v>
      </c>
      <c r="B16" s="12">
        <v>4</v>
      </c>
    </row>
    <row r="17" spans="1:2" x14ac:dyDescent="0.25">
      <c r="A17" s="7" t="s">
        <v>19</v>
      </c>
      <c r="B17" s="13">
        <v>200</v>
      </c>
    </row>
    <row r="18" spans="1:2" x14ac:dyDescent="0.25">
      <c r="A18" s="7" t="s">
        <v>63</v>
      </c>
      <c r="B18" s="13">
        <v>25.4</v>
      </c>
    </row>
    <row r="20" spans="1:2" ht="18" customHeight="1" x14ac:dyDescent="0.25">
      <c r="A20" s="5" t="s">
        <v>20</v>
      </c>
      <c r="B20" s="6"/>
    </row>
    <row r="21" spans="1:2" x14ac:dyDescent="0.25">
      <c r="A21" s="7" t="s">
        <v>21</v>
      </c>
      <c r="B21" s="14">
        <f>IF(B27=1,B32,IF(B27=2,B33,IF(B27=3,B34,"")))</f>
        <v>172.369</v>
      </c>
    </row>
    <row r="22" spans="1:2" ht="27.75" customHeight="1" x14ac:dyDescent="0.25">
      <c r="A22" s="7" t="s">
        <v>64</v>
      </c>
      <c r="B22" s="15" t="str">
        <f>IF(B27=1,"≤ 2.1/2 in (63,5 mm) — línea 31",IF(B27=2,"2.1/2 in – 4 in (63,5–101,6 mm) — línea 30",IF(B27=3,"4 in – 7 in (101,6–177,8 mm) — línea 27","⚠ Fuera de rango tabulado (&gt; 7 in / 177,8 mm)")))</f>
        <v>≤ 2.1/2 in (63,5 mm) — línea 31</v>
      </c>
    </row>
    <row r="23" spans="1:2" ht="27.75" customHeight="1" x14ac:dyDescent="0.25">
      <c r="A23" s="7" t="s">
        <v>65</v>
      </c>
      <c r="B23" s="15" t="str">
        <f>IF(B17&lt;B28,"⚠ Por debajo del rango tabulado",IF(B17&gt;B29,"⚠ Fuera de rango — no hay S tabulada por encima de "&amp;TEXT(B29,"0")&amp;" °C","OK — dentro de rango"))</f>
        <v>OK — dentro de rango</v>
      </c>
    </row>
    <row r="25" spans="1:2" ht="18" customHeight="1" x14ac:dyDescent="0.25">
      <c r="A25" s="5" t="s">
        <v>23</v>
      </c>
      <c r="B25" s="6"/>
    </row>
    <row r="26" spans="1:2" x14ac:dyDescent="0.25">
      <c r="A26" s="7" t="s">
        <v>66</v>
      </c>
      <c r="B26" s="27">
        <f>B18/25.4</f>
        <v>1</v>
      </c>
    </row>
    <row r="27" spans="1:2" x14ac:dyDescent="0.25">
      <c r="A27" s="7" t="s">
        <v>67</v>
      </c>
      <c r="B27" s="17">
        <f>IF(B26&lt;=2.5,1,IF(B26&lt;=4,2,IF(B26&lt;=7,3,4)))</f>
        <v>1</v>
      </c>
    </row>
    <row r="28" spans="1:2" x14ac:dyDescent="0.25">
      <c r="A28" s="7" t="s">
        <v>24</v>
      </c>
      <c r="B28" s="16">
        <f>INDEX($B$38:$B$53,1)</f>
        <v>37.777777777777779</v>
      </c>
    </row>
    <row r="29" spans="1:2" x14ac:dyDescent="0.25">
      <c r="A29" s="7" t="s">
        <v>25</v>
      </c>
      <c r="B29" s="16">
        <f>INDEX($B$38:$B$53,16)</f>
        <v>537.77777777777783</v>
      </c>
    </row>
    <row r="30" spans="1:2" x14ac:dyDescent="0.25">
      <c r="A30" s="7" t="s">
        <v>26</v>
      </c>
      <c r="B30" s="16">
        <f>MIN(MAX(B17,B28),B29)</f>
        <v>200</v>
      </c>
    </row>
    <row r="31" spans="1:2" x14ac:dyDescent="0.25">
      <c r="A31" s="7" t="s">
        <v>27</v>
      </c>
      <c r="B31" s="17">
        <f>MIN(MATCH(B30,$B$38:$B$53,1),16-1)</f>
        <v>4</v>
      </c>
    </row>
    <row r="32" spans="1:2" x14ac:dyDescent="0.25">
      <c r="A32" s="7" t="s">
        <v>68</v>
      </c>
      <c r="B32" s="16">
        <f>INDEX($D$38:$D$53,B31)+(B30-INDEX($B$38:$B$53,B31))/(INDEX($B$38:$B$53,B31+1)-INDEX($B$38:$B$53,B31))*(INDEX($D$38:$D$53,B31+1)-INDEX($D$38:$D$53,B31))</f>
        <v>172.369</v>
      </c>
    </row>
    <row r="33" spans="1:29" x14ac:dyDescent="0.25">
      <c r="A33" s="7" t="s">
        <v>69</v>
      </c>
      <c r="B33" s="16">
        <f>INDEX($F$38:$F$53,B31)+(B30-INDEX($B$38:$B$53,B31))/(INDEX($B$38:$B$53,B31+1)-INDEX($B$38:$B$53,B31))*(INDEX($F$38:$F$53,B31+1)-INDEX($F$38:$F$53,B31))</f>
        <v>158.57947999999999</v>
      </c>
    </row>
    <row r="34" spans="1:29" x14ac:dyDescent="0.25">
      <c r="A34" s="7" t="s">
        <v>70</v>
      </c>
      <c r="B34" s="16">
        <f>INDEX($H$38:$H$53,B31)+(B30-INDEX($B$38:$B$53,B31))/(INDEX($B$38:$B$53,B31+1)-INDEX($B$38:$B$53,B31))*(INDEX($H$38:$H$53,B31+1)-INDEX($H$38:$H$53,B31))</f>
        <v>129.621488</v>
      </c>
    </row>
    <row r="36" spans="1:29" x14ac:dyDescent="0.25">
      <c r="A36" s="18" t="s">
        <v>71</v>
      </c>
    </row>
    <row r="37" spans="1:29" ht="25.5" customHeight="1" x14ac:dyDescent="0.25">
      <c r="A37" s="19" t="s">
        <v>30</v>
      </c>
      <c r="B37" s="19" t="s">
        <v>32</v>
      </c>
      <c r="C37" s="19" t="s">
        <v>72</v>
      </c>
      <c r="D37" s="19" t="s">
        <v>73</v>
      </c>
      <c r="E37" s="19" t="s">
        <v>74</v>
      </c>
      <c r="F37" s="19" t="s">
        <v>75</v>
      </c>
      <c r="G37" s="19" t="s">
        <v>76</v>
      </c>
      <c r="H37" s="19" t="s">
        <v>77</v>
      </c>
      <c r="X37" s="28" t="s">
        <v>78</v>
      </c>
      <c r="Z37" s="28" t="s">
        <v>79</v>
      </c>
      <c r="AB37" s="28" t="s">
        <v>80</v>
      </c>
      <c r="AC37" s="28" t="s">
        <v>81</v>
      </c>
    </row>
    <row r="38" spans="1:29" x14ac:dyDescent="0.25">
      <c r="A38" s="20">
        <v>100</v>
      </c>
      <c r="B38" s="21">
        <f t="shared" ref="B38:B53" si="0">(A38-32)*5/9</f>
        <v>37.777777777777779</v>
      </c>
      <c r="C38" s="21">
        <v>25</v>
      </c>
      <c r="D38" s="21">
        <f t="shared" ref="D38:D53" si="1">C38*6.89476</f>
        <v>172.369</v>
      </c>
      <c r="E38" s="21">
        <v>23</v>
      </c>
      <c r="F38" s="21">
        <f t="shared" ref="F38:F53" si="2">E38*6.89476</f>
        <v>158.57947999999999</v>
      </c>
      <c r="G38" s="21">
        <v>18.8</v>
      </c>
      <c r="H38" s="21">
        <f t="shared" ref="H38:H53" si="3">G38*6.89476</f>
        <v>129.621488</v>
      </c>
    </row>
    <row r="39" spans="1:29" x14ac:dyDescent="0.25">
      <c r="A39" s="20">
        <v>150</v>
      </c>
      <c r="B39" s="21">
        <f t="shared" si="0"/>
        <v>65.555555555555557</v>
      </c>
      <c r="C39" s="21">
        <v>25</v>
      </c>
      <c r="D39" s="21">
        <f t="shared" si="1"/>
        <v>172.369</v>
      </c>
      <c r="E39" s="21">
        <v>23</v>
      </c>
      <c r="F39" s="21">
        <f t="shared" si="2"/>
        <v>158.57947999999999</v>
      </c>
      <c r="G39" s="21">
        <v>18.8</v>
      </c>
      <c r="H39" s="21">
        <f t="shared" si="3"/>
        <v>129.621488</v>
      </c>
    </row>
    <row r="40" spans="1:29" x14ac:dyDescent="0.25">
      <c r="A40" s="20">
        <v>200</v>
      </c>
      <c r="B40" s="21">
        <f t="shared" si="0"/>
        <v>93.333333333333329</v>
      </c>
      <c r="C40" s="21">
        <v>25</v>
      </c>
      <c r="D40" s="21">
        <f t="shared" si="1"/>
        <v>172.369</v>
      </c>
      <c r="E40" s="21">
        <v>23</v>
      </c>
      <c r="F40" s="21">
        <f t="shared" si="2"/>
        <v>158.57947999999999</v>
      </c>
      <c r="G40" s="21">
        <v>18.8</v>
      </c>
      <c r="H40" s="21">
        <f t="shared" si="3"/>
        <v>129.621488</v>
      </c>
    </row>
    <row r="41" spans="1:29" x14ac:dyDescent="0.25">
      <c r="A41" s="20">
        <v>300</v>
      </c>
      <c r="B41" s="21">
        <f t="shared" si="0"/>
        <v>148.88888888888889</v>
      </c>
      <c r="C41" s="21">
        <v>25</v>
      </c>
      <c r="D41" s="21">
        <f t="shared" si="1"/>
        <v>172.369</v>
      </c>
      <c r="E41" s="21">
        <v>23</v>
      </c>
      <c r="F41" s="21">
        <f t="shared" si="2"/>
        <v>158.57947999999999</v>
      </c>
      <c r="G41" s="21">
        <v>18.8</v>
      </c>
      <c r="H41" s="21">
        <f t="shared" si="3"/>
        <v>129.621488</v>
      </c>
    </row>
    <row r="42" spans="1:29" x14ac:dyDescent="0.25">
      <c r="A42" s="20">
        <v>400</v>
      </c>
      <c r="B42" s="21">
        <f t="shared" si="0"/>
        <v>204.44444444444446</v>
      </c>
      <c r="C42" s="21">
        <v>25</v>
      </c>
      <c r="D42" s="21">
        <f t="shared" si="1"/>
        <v>172.369</v>
      </c>
      <c r="E42" s="21">
        <v>23</v>
      </c>
      <c r="F42" s="21">
        <f t="shared" si="2"/>
        <v>158.57947999999999</v>
      </c>
      <c r="G42" s="21">
        <v>18.8</v>
      </c>
      <c r="H42" s="21">
        <f t="shared" si="3"/>
        <v>129.621488</v>
      </c>
    </row>
    <row r="43" spans="1:29" x14ac:dyDescent="0.25">
      <c r="A43" s="20">
        <v>500</v>
      </c>
      <c r="B43" s="21">
        <f t="shared" si="0"/>
        <v>260</v>
      </c>
      <c r="C43" s="21">
        <v>25</v>
      </c>
      <c r="D43" s="21">
        <f t="shared" si="1"/>
        <v>172.369</v>
      </c>
      <c r="E43" s="21">
        <v>23</v>
      </c>
      <c r="F43" s="21">
        <f t="shared" si="2"/>
        <v>158.57947999999999</v>
      </c>
      <c r="G43" s="21">
        <v>18.8</v>
      </c>
      <c r="H43" s="21">
        <f t="shared" si="3"/>
        <v>129.621488</v>
      </c>
    </row>
    <row r="44" spans="1:29" x14ac:dyDescent="0.25">
      <c r="A44" s="20">
        <v>550</v>
      </c>
      <c r="B44" s="21">
        <f t="shared" si="0"/>
        <v>287.77777777777777</v>
      </c>
      <c r="C44" s="21">
        <v>25</v>
      </c>
      <c r="D44" s="21">
        <f t="shared" si="1"/>
        <v>172.369</v>
      </c>
      <c r="E44" s="21">
        <v>23</v>
      </c>
      <c r="F44" s="21">
        <f t="shared" si="2"/>
        <v>158.57947999999999</v>
      </c>
      <c r="G44" s="21">
        <v>18.8</v>
      </c>
      <c r="H44" s="21">
        <f t="shared" si="3"/>
        <v>129.621488</v>
      </c>
    </row>
    <row r="45" spans="1:29" x14ac:dyDescent="0.25">
      <c r="A45" s="20">
        <v>600</v>
      </c>
      <c r="B45" s="21">
        <f t="shared" si="0"/>
        <v>315.55555555555554</v>
      </c>
      <c r="C45" s="21">
        <v>25</v>
      </c>
      <c r="D45" s="21">
        <f t="shared" si="1"/>
        <v>172.369</v>
      </c>
      <c r="E45" s="21">
        <v>23</v>
      </c>
      <c r="F45" s="21">
        <f t="shared" si="2"/>
        <v>158.57947999999999</v>
      </c>
      <c r="G45" s="21">
        <v>18.8</v>
      </c>
      <c r="H45" s="21">
        <f t="shared" si="3"/>
        <v>129.621488</v>
      </c>
    </row>
    <row r="46" spans="1:29" x14ac:dyDescent="0.25">
      <c r="A46" s="20">
        <v>650</v>
      </c>
      <c r="B46" s="21">
        <f t="shared" si="0"/>
        <v>343.33333333333331</v>
      </c>
      <c r="C46" s="21">
        <v>25</v>
      </c>
      <c r="D46" s="21">
        <f t="shared" si="1"/>
        <v>172.369</v>
      </c>
      <c r="E46" s="21">
        <v>23</v>
      </c>
      <c r="F46" s="21">
        <f t="shared" si="2"/>
        <v>158.57947999999999</v>
      </c>
      <c r="G46" s="21">
        <v>18.8</v>
      </c>
      <c r="H46" s="21">
        <f t="shared" si="3"/>
        <v>129.621488</v>
      </c>
    </row>
    <row r="47" spans="1:29" x14ac:dyDescent="0.25">
      <c r="A47" s="20">
        <v>700</v>
      </c>
      <c r="B47" s="21">
        <f t="shared" si="0"/>
        <v>371.11111111111109</v>
      </c>
      <c r="C47" s="21">
        <v>25</v>
      </c>
      <c r="D47" s="21">
        <f t="shared" si="1"/>
        <v>172.369</v>
      </c>
      <c r="E47" s="21">
        <v>23</v>
      </c>
      <c r="F47" s="21">
        <f t="shared" si="2"/>
        <v>158.57947999999999</v>
      </c>
      <c r="G47" s="21">
        <v>18.8</v>
      </c>
      <c r="H47" s="21">
        <f t="shared" si="3"/>
        <v>129.621488</v>
      </c>
    </row>
    <row r="48" spans="1:29" x14ac:dyDescent="0.25">
      <c r="A48" s="20">
        <v>750</v>
      </c>
      <c r="B48" s="21">
        <f t="shared" si="0"/>
        <v>398.88888888888891</v>
      </c>
      <c r="C48" s="21">
        <v>23.6</v>
      </c>
      <c r="D48" s="21">
        <f t="shared" si="1"/>
        <v>162.71633600000001</v>
      </c>
      <c r="E48" s="21">
        <v>22.2</v>
      </c>
      <c r="F48" s="21">
        <f t="shared" si="2"/>
        <v>153.063672</v>
      </c>
      <c r="G48" s="21">
        <v>18.8</v>
      </c>
      <c r="H48" s="21">
        <f t="shared" si="3"/>
        <v>129.621488</v>
      </c>
    </row>
    <row r="49" spans="1:8" x14ac:dyDescent="0.25">
      <c r="A49" s="20">
        <v>800</v>
      </c>
      <c r="B49" s="21">
        <f t="shared" si="0"/>
        <v>426.66666666666669</v>
      </c>
      <c r="C49" s="21">
        <v>21</v>
      </c>
      <c r="D49" s="21">
        <f t="shared" si="1"/>
        <v>144.78996000000001</v>
      </c>
      <c r="E49" s="21">
        <v>20</v>
      </c>
      <c r="F49" s="21">
        <f t="shared" si="2"/>
        <v>137.89519999999999</v>
      </c>
      <c r="G49" s="21">
        <v>18</v>
      </c>
      <c r="H49" s="21">
        <f t="shared" si="3"/>
        <v>124.10567999999999</v>
      </c>
    </row>
    <row r="50" spans="1:8" x14ac:dyDescent="0.25">
      <c r="A50" s="20">
        <v>850</v>
      </c>
      <c r="B50" s="21">
        <f t="shared" si="0"/>
        <v>454.44444444444446</v>
      </c>
      <c r="C50" s="21">
        <v>16.3</v>
      </c>
      <c r="D50" s="21">
        <f t="shared" si="1"/>
        <v>112.38458800000001</v>
      </c>
      <c r="E50" s="21">
        <v>16.3</v>
      </c>
      <c r="F50" s="21">
        <f t="shared" si="2"/>
        <v>112.38458800000001</v>
      </c>
      <c r="G50" s="21">
        <v>16.3</v>
      </c>
      <c r="H50" s="21">
        <f t="shared" si="3"/>
        <v>112.38458800000001</v>
      </c>
    </row>
    <row r="51" spans="1:8" x14ac:dyDescent="0.25">
      <c r="A51" s="20">
        <v>900</v>
      </c>
      <c r="B51" s="21">
        <f t="shared" si="0"/>
        <v>482.22222222222223</v>
      </c>
      <c r="C51" s="21">
        <v>12.5</v>
      </c>
      <c r="D51" s="21">
        <f t="shared" si="1"/>
        <v>86.1845</v>
      </c>
      <c r="E51" s="21">
        <v>12.5</v>
      </c>
      <c r="F51" s="21">
        <f t="shared" si="2"/>
        <v>86.1845</v>
      </c>
      <c r="G51" s="21">
        <v>12.5</v>
      </c>
      <c r="H51" s="21">
        <f t="shared" si="3"/>
        <v>86.1845</v>
      </c>
    </row>
    <row r="52" spans="1:8" x14ac:dyDescent="0.25">
      <c r="A52" s="20">
        <v>950</v>
      </c>
      <c r="B52" s="21">
        <f t="shared" si="0"/>
        <v>510</v>
      </c>
      <c r="C52" s="21">
        <v>8.5</v>
      </c>
      <c r="D52" s="21">
        <f t="shared" si="1"/>
        <v>58.605460000000001</v>
      </c>
      <c r="E52" s="21">
        <v>8.5</v>
      </c>
      <c r="F52" s="21">
        <f t="shared" si="2"/>
        <v>58.605460000000001</v>
      </c>
      <c r="G52" s="21">
        <v>8.5</v>
      </c>
      <c r="H52" s="21">
        <f t="shared" si="3"/>
        <v>58.605460000000001</v>
      </c>
    </row>
    <row r="53" spans="1:8" x14ac:dyDescent="0.25">
      <c r="A53" s="20">
        <v>1000</v>
      </c>
      <c r="B53" s="21">
        <f t="shared" si="0"/>
        <v>537.77777777777783</v>
      </c>
      <c r="C53" s="21">
        <v>4.5</v>
      </c>
      <c r="D53" s="21">
        <f t="shared" si="1"/>
        <v>31.026419999999998</v>
      </c>
      <c r="E53" s="21">
        <v>4.5</v>
      </c>
      <c r="F53" s="21">
        <f t="shared" si="2"/>
        <v>31.026419999999998</v>
      </c>
      <c r="G53" s="21">
        <v>4.5</v>
      </c>
      <c r="H53" s="21">
        <f t="shared" si="3"/>
        <v>31.026419999999998</v>
      </c>
    </row>
    <row r="55" spans="1:8" ht="13.5" customHeight="1" x14ac:dyDescent="0.25">
      <c r="A55" s="1" t="s">
        <v>82</v>
      </c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</sheetData>
  <mergeCells count="1">
    <mergeCell ref="A55:H5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SA-516 Gr 70</vt:lpstr>
      <vt:lpstr>SA-105</vt:lpstr>
      <vt:lpstr>SA-106 Gr B</vt:lpstr>
      <vt:lpstr>SA-193 B7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Antonio Manteiga Presedo</cp:lastModifiedBy>
  <cp:revision>1</cp:revision>
  <dcterms:created xsi:type="dcterms:W3CDTF">2026-09-13T08:01:51Z</dcterms:created>
  <dcterms:modified xsi:type="dcterms:W3CDTF">2026-09-13T08:05:47Z</dcterms:modified>
  <dc:language>en-US</dc:language>
</cp:coreProperties>
</file>